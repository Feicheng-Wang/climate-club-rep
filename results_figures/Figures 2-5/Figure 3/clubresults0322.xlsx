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Morning_an/Documents/AP4上内容/CBAM/version 5/Figure 3/"/>
    </mc:Choice>
  </mc:AlternateContent>
  <xr:revisionPtr revIDLastSave="0" documentId="13_ncr:1_{FD578FBA-AE40-C348-B447-B14A59E9C11B}" xr6:coauthVersionLast="47" xr6:coauthVersionMax="47" xr10:uidLastSave="{00000000-0000-0000-0000-000000000000}"/>
  <bookViews>
    <workbookView xWindow="0" yWindow="760" windowWidth="22540" windowHeight="13160" activeTab="5" xr2:uid="{00000000-000D-0000-FFFF-FFFF00000000}"/>
  </bookViews>
  <sheets>
    <sheet name="情景设计" sheetId="9" r:id="rId1"/>
    <sheet name="GLOBAL GDP" sheetId="1" r:id="rId2"/>
    <sheet name="GLOBAL CO2" sheetId="2" r:id="rId3"/>
    <sheet name="C_GDP" sheetId="3" r:id="rId4"/>
    <sheet name="Sheet4" sheetId="11" r:id="rId5"/>
    <sheet name="C_CO2" sheetId="4" r:id="rId6"/>
    <sheet name="LEAK" sheetId="5" r:id="rId7"/>
    <sheet name="EXP" sheetId="6" r:id="rId8"/>
    <sheet name="IMP" sheetId="7" r:id="rId9"/>
    <sheet name="Sheet3" sheetId="10" r:id="rId10"/>
    <sheet name="减排有效性" sheetId="12" r:id="rId11"/>
    <sheet name="Sheet1" sheetId="13" r:id="rId12"/>
    <sheet name="3dimension" sheetId="14" r:id="rId13"/>
    <sheet name="Sheet2" sheetId="15" r:id="rId14"/>
    <sheet name="Sheet5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6" l="1"/>
  <c r="J6" i="16"/>
  <c r="I6" i="16"/>
  <c r="H6" i="16"/>
  <c r="G6" i="16"/>
  <c r="F6" i="16"/>
  <c r="E6" i="16"/>
  <c r="D6" i="16"/>
  <c r="C6" i="16"/>
  <c r="B6" i="16"/>
  <c r="K5" i="16"/>
  <c r="J5" i="16"/>
  <c r="I5" i="16"/>
  <c r="H5" i="16"/>
  <c r="G5" i="16"/>
  <c r="F5" i="16"/>
  <c r="E5" i="16"/>
  <c r="D5" i="16"/>
  <c r="C5" i="16"/>
  <c r="B5" i="16"/>
  <c r="K6" i="14"/>
  <c r="J6" i="14"/>
  <c r="I6" i="14"/>
  <c r="H6" i="14"/>
  <c r="G6" i="14"/>
  <c r="F6" i="14"/>
  <c r="E6" i="14"/>
  <c r="D6" i="14"/>
  <c r="C6" i="14"/>
  <c r="B6" i="14"/>
  <c r="K5" i="14"/>
  <c r="J5" i="14"/>
  <c r="I5" i="14"/>
  <c r="H5" i="14"/>
  <c r="G5" i="14"/>
  <c r="F5" i="14"/>
  <c r="E5" i="14"/>
  <c r="D5" i="14"/>
  <c r="C5" i="14"/>
  <c r="B5" i="14"/>
  <c r="J7" i="13"/>
  <c r="I7" i="13"/>
  <c r="H7" i="13"/>
  <c r="G7" i="13"/>
  <c r="F7" i="13"/>
  <c r="E7" i="13"/>
  <c r="D7" i="13"/>
  <c r="C7" i="13"/>
  <c r="B7" i="13"/>
  <c r="A7" i="13"/>
  <c r="K6" i="13"/>
  <c r="D8" i="12"/>
  <c r="D7" i="12"/>
  <c r="D6" i="12"/>
  <c r="D5" i="12"/>
  <c r="D4" i="12"/>
  <c r="D3" i="12"/>
  <c r="D2" i="12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K2" i="7"/>
  <c r="J2" i="7"/>
  <c r="I2" i="7"/>
  <c r="H2" i="7"/>
  <c r="G2" i="7"/>
  <c r="F2" i="7"/>
  <c r="E2" i="7"/>
  <c r="D2" i="7"/>
  <c r="C2" i="7"/>
  <c r="B2" i="7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K2" i="6"/>
  <c r="J2" i="6"/>
  <c r="I2" i="6"/>
  <c r="H2" i="6"/>
  <c r="G2" i="6"/>
  <c r="F2" i="6"/>
  <c r="E2" i="6"/>
  <c r="D2" i="6"/>
  <c r="C2" i="6"/>
  <c r="B2" i="6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K2" i="4"/>
  <c r="J2" i="4"/>
  <c r="I2" i="4"/>
  <c r="H2" i="4"/>
  <c r="G2" i="4"/>
  <c r="F2" i="4"/>
  <c r="E2" i="4"/>
  <c r="D2" i="4"/>
  <c r="C2" i="4"/>
  <c r="B2" i="4"/>
  <c r="K9" i="11"/>
  <c r="J9" i="11"/>
  <c r="I9" i="11"/>
  <c r="H9" i="11"/>
  <c r="G9" i="11"/>
  <c r="F9" i="11"/>
  <c r="E9" i="11"/>
  <c r="D9" i="11"/>
  <c r="C9" i="11"/>
  <c r="B9" i="11"/>
  <c r="K8" i="11"/>
  <c r="J8" i="11"/>
  <c r="I8" i="11"/>
  <c r="H8" i="11"/>
  <c r="G8" i="11"/>
  <c r="F8" i="11"/>
  <c r="E8" i="11"/>
  <c r="D8" i="11"/>
  <c r="C8" i="11"/>
  <c r="B8" i="11"/>
  <c r="K7" i="11"/>
  <c r="J7" i="11"/>
  <c r="I7" i="11"/>
  <c r="H7" i="11"/>
  <c r="G7" i="11"/>
  <c r="F7" i="11"/>
  <c r="E7" i="11"/>
  <c r="D7" i="11"/>
  <c r="C7" i="11"/>
  <c r="B7" i="11"/>
  <c r="K5" i="11"/>
  <c r="J5" i="11"/>
  <c r="I5" i="11"/>
  <c r="H5" i="11"/>
  <c r="G5" i="11"/>
  <c r="F5" i="11"/>
  <c r="E5" i="11"/>
  <c r="D5" i="11"/>
  <c r="C5" i="11"/>
  <c r="B5" i="11"/>
  <c r="K4" i="11"/>
  <c r="J4" i="11"/>
  <c r="I4" i="11"/>
  <c r="H4" i="11"/>
  <c r="G4" i="11"/>
  <c r="F4" i="11"/>
  <c r="E4" i="11"/>
  <c r="D4" i="11"/>
  <c r="C4" i="11"/>
  <c r="B4" i="11"/>
  <c r="K3" i="11"/>
  <c r="J3" i="11"/>
  <c r="I3" i="11"/>
  <c r="H3" i="11"/>
  <c r="G3" i="11"/>
  <c r="F3" i="11"/>
  <c r="E3" i="11"/>
  <c r="D3" i="11"/>
  <c r="C3" i="11"/>
  <c r="B3" i="11"/>
  <c r="K2" i="11"/>
  <c r="J2" i="11"/>
  <c r="I2" i="11"/>
  <c r="H2" i="11"/>
  <c r="G2" i="11"/>
  <c r="F2" i="11"/>
  <c r="E2" i="11"/>
  <c r="D2" i="11"/>
  <c r="C2" i="11"/>
  <c r="B2" i="11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K2" i="3"/>
  <c r="J2" i="3"/>
  <c r="I2" i="3"/>
  <c r="H2" i="3"/>
  <c r="G2" i="3"/>
  <c r="F2" i="3"/>
  <c r="E2" i="3"/>
  <c r="D2" i="3"/>
  <c r="C2" i="3"/>
  <c r="B2" i="3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<sst xmlns="http://schemas.openxmlformats.org/spreadsheetml/2006/main" count="264" uniqueCount="129">
  <si>
    <t>情景描述</t>
  </si>
  <si>
    <t>情景设置</t>
  </si>
  <si>
    <r>
      <rPr>
        <sz val="11"/>
        <color rgb="FF000000"/>
        <rFont val="宋体"/>
        <charset val="134"/>
      </rPr>
      <t>基准情景（</t>
    </r>
    <r>
      <rPr>
        <sz val="11"/>
        <color rgb="FF000000"/>
        <rFont val="Times New Roman"/>
        <family val="1"/>
      </rPr>
      <t>BAU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</si>
  <si>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与第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charset val="134"/>
      </rPr>
      <t>章描述一致</t>
    </r>
  </si>
  <si>
    <t>欧洲国家碳俱乐部CLUB0</t>
  </si>
  <si>
    <r>
      <rPr>
        <sz val="11"/>
        <color rgb="FF000000"/>
        <rFont val="宋体"/>
        <charset val="134"/>
      </rPr>
      <t>覆盖行业包括有色金属、化学品、矿产品、石化产品、钢铁、电力；碳价逐步增长至</t>
    </r>
    <r>
      <rPr>
        <sz val="11"/>
        <color rgb="FF000000"/>
        <rFont val="Times New Roman"/>
        <family val="1"/>
      </rPr>
      <t>2040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"/>
        <family val="1"/>
      </rPr>
      <t>120</t>
    </r>
    <r>
      <rPr>
        <sz val="11"/>
        <color rgb="FF000000"/>
        <rFont val="宋体"/>
        <charset val="134"/>
      </rPr>
      <t>美元；对非俱乐部成员征收碳边境调节</t>
    </r>
  </si>
  <si>
    <t>多边碳俱乐部扩展情景</t>
  </si>
  <si>
    <t>领导者碳俱乐部（CLUB1）</t>
  </si>
  <si>
    <t>多边碳定价扩展至其他领导者国家：ANNEX I国家、加拿大和美国</t>
  </si>
  <si>
    <t>跟随者碳俱乐部（CLUB2）</t>
  </si>
  <si>
    <t>多边碳定价扩展至跟随者国家：墨西哥、中国、印度</t>
  </si>
  <si>
    <t>全球统一碳价</t>
  </si>
  <si>
    <t>所有国家采取同样的碳定价政策，无边境调节机制</t>
  </si>
  <si>
    <t>俱乐部外成员联合反制措施情景</t>
  </si>
  <si>
    <t>对CLUB0的集中反制(CLUB0rt)</t>
  </si>
  <si>
    <t>欧盟27实施碳俱乐部政策，其余国家对其所有出口产品征收10%的反制关税</t>
  </si>
  <si>
    <t>对CLUB1的集中反制（CLUB1rt）</t>
  </si>
  <si>
    <t>CLUB1成员实施碳俱乐部政策，对外征收碳边境调节，其余国家对CLUB1国家出口产品征收10%反制关税</t>
  </si>
  <si>
    <t>对CLUB2的集中反制（CLUB2rt）</t>
  </si>
  <si>
    <t>CLUB2成员实施碳俱乐部政策，对外征收碳边境调节，其余国家对CLUB2国家出口产品征收10%反制关税</t>
  </si>
  <si>
    <t>CLUB0</t>
  </si>
  <si>
    <t>CLUB1</t>
  </si>
  <si>
    <t>CLUB2</t>
  </si>
  <si>
    <t>CLUBG</t>
  </si>
  <si>
    <t>CLUB0rt</t>
  </si>
  <si>
    <t>CLUB1rt</t>
  </si>
  <si>
    <t>CLUB2rt</t>
  </si>
  <si>
    <t>EU</t>
  </si>
  <si>
    <t>ANNEX I</t>
  </si>
  <si>
    <t>CAN</t>
  </si>
  <si>
    <t>USA</t>
  </si>
  <si>
    <t>MEX</t>
  </si>
  <si>
    <t>CHN</t>
  </si>
  <si>
    <t>IND</t>
  </si>
  <si>
    <t>ROW</t>
  </si>
  <si>
    <t>RUS</t>
  </si>
  <si>
    <t>OILEX</t>
  </si>
  <si>
    <t>RXAN</t>
  </si>
  <si>
    <t>XRW</t>
  </si>
  <si>
    <t>XOI</t>
  </si>
  <si>
    <t>club0</t>
  </si>
  <si>
    <t>club1</t>
  </si>
  <si>
    <t>club2</t>
  </si>
  <si>
    <t>clubG</t>
  </si>
  <si>
    <t>club0rt</t>
  </si>
  <si>
    <t>club1rt</t>
  </si>
  <si>
    <t>club2rt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</si>
  <si>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</si>
  <si>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</si>
  <si>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</si>
  <si>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</si>
  <si>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</si>
  <si>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</si>
  <si>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</si>
  <si>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</si>
  <si>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</si>
  <si>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</si>
  <si>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</si>
  <si>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</si>
  <si>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</si>
  <si>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</si>
  <si>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</si>
  <si>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</si>
  <si>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</si>
  <si>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</si>
  <si>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</si>
  <si>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</si>
  <si>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</si>
  <si>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</si>
  <si>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</si>
  <si>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</si>
  <si>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can</t>
  </si>
  <si>
    <t>rus</t>
  </si>
  <si>
    <t>chn</t>
  </si>
  <si>
    <t>ind</t>
  </si>
  <si>
    <t>mex</t>
  </si>
  <si>
    <t>usa</t>
  </si>
  <si>
    <t>xoi</t>
  </si>
  <si>
    <t>eu</t>
  </si>
  <si>
    <t>rxan</t>
  </si>
  <si>
    <t>xrw</t>
  </si>
  <si>
    <t>club3</t>
  </si>
  <si>
    <t>club4</t>
  </si>
  <si>
    <t>club5</t>
  </si>
  <si>
    <t>club6</t>
  </si>
  <si>
    <t>club7</t>
  </si>
  <si>
    <t>club10</t>
  </si>
  <si>
    <t>club3rt</t>
  </si>
  <si>
    <t>club4rt</t>
  </si>
  <si>
    <t>club5rt</t>
  </si>
  <si>
    <t>club6rt</t>
  </si>
  <si>
    <t>club7rt</t>
  </si>
  <si>
    <r>
      <rPr>
        <b/>
        <sz val="11"/>
        <color rgb="FF000000"/>
        <rFont val="Times New Roman"/>
        <family val="1"/>
      </rPr>
      <t>GDP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</si>
  <si>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Times New Roman"/>
        <family val="1"/>
      </rPr>
      <t>CO2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</si>
  <si>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t>经济有效性</t>
  </si>
  <si>
    <t>加拿大</t>
  </si>
  <si>
    <t>俄罗斯</t>
  </si>
  <si>
    <t>中国</t>
  </si>
  <si>
    <t>印度</t>
  </si>
  <si>
    <t>墨西哥</t>
  </si>
  <si>
    <t>美国</t>
  </si>
  <si>
    <t>石油出口国</t>
  </si>
  <si>
    <t>欧盟</t>
  </si>
  <si>
    <t>附件一国家</t>
  </si>
  <si>
    <t>其他</t>
  </si>
  <si>
    <t>oilex</t>
  </si>
  <si>
    <t>annexi</t>
  </si>
  <si>
    <t>row</t>
  </si>
  <si>
    <t>pop</t>
  </si>
  <si>
    <t>co2</t>
  </si>
  <si>
    <t>gdp</t>
  </si>
  <si>
    <t>unit_gdp</t>
  </si>
  <si>
    <t>unit_pop</t>
  </si>
  <si>
    <r>
      <t>其余</t>
    </r>
    <r>
      <rPr>
        <b/>
        <sz val="11"/>
        <color theme="1"/>
        <rFont val="Times New Roman"/>
        <family val="1"/>
      </rPr>
      <t>Annex I</t>
    </r>
    <r>
      <rPr>
        <b/>
        <sz val="11"/>
        <color theme="1"/>
        <rFont val="宋体"/>
        <charset val="134"/>
      </rPr>
      <t>国家</t>
    </r>
  </si>
  <si>
    <t>世界其他国家</t>
  </si>
  <si>
    <t>GCP</t>
  </si>
  <si>
    <t>GCP_CA</t>
  </si>
  <si>
    <t>GCP_RCA</t>
  </si>
  <si>
    <t>GCP_ICM</t>
  </si>
  <si>
    <r>
      <t>单位</t>
    </r>
    <r>
      <rPr>
        <b/>
        <sz val="11"/>
        <color theme="1"/>
        <rFont val="Times New Roman"/>
        <family val="1"/>
      </rPr>
      <t xml:space="preserve"> $/tCO2e</t>
    </r>
  </si>
  <si>
    <r>
      <t>Annex I</t>
    </r>
    <r>
      <rPr>
        <b/>
        <sz val="11"/>
        <color rgb="FF000000"/>
        <rFont val="宋体"/>
        <charset val="134"/>
      </rPr>
      <t>国家</t>
    </r>
  </si>
  <si>
    <t>GCP/ ICM</t>
  </si>
  <si>
    <t>CLUB-0</t>
  </si>
  <si>
    <t>CLUB-1</t>
  </si>
  <si>
    <t>CLUB-2</t>
  </si>
  <si>
    <t>CLUB-G</t>
  </si>
  <si>
    <t>CLUB-0-R</t>
  </si>
  <si>
    <t>CLUB-1-R</t>
  </si>
  <si>
    <t>CLUB-2-R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</si>
</sst>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0_ "/>
    <numFmt numFmtId="166" formatCode="0.000"/>
    <numFmt numFmtId="167" formatCode="0.0"/>
  </numFmts>
  <fonts count="14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宋体"/>
      <charset val="134"/>
    </font>
    <font>
      <b/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宋体"/>
      <charset val="134"/>
    </font>
    <font>
      <i/>
      <sz val="11"/>
      <color rgb="FF000000"/>
      <name val="宋体"/>
      <charset val="134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0" xfId="0" applyFont="1"/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0" fillId="0" borderId="0" xfId="1" applyFont="1" applyAlignment="1"/>
    <xf numFmtId="0" fontId="0" fillId="0" borderId="1" xfId="0" applyBorder="1"/>
    <xf numFmtId="0" fontId="0" fillId="2" borderId="4" xfId="0" applyFill="1" applyBorder="1" applyAlignment="1">
      <alignment horizontal="center"/>
    </xf>
    <xf numFmtId="165" fontId="0" fillId="0" borderId="4" xfId="0" applyNumberFormat="1" applyBorder="1"/>
    <xf numFmtId="165" fontId="3" fillId="0" borderId="0" xfId="0" applyNumberFormat="1" applyFont="1" applyAlignment="1">
      <alignment horizontal="center" wrapText="1"/>
    </xf>
    <xf numFmtId="0" fontId="0" fillId="0" borderId="4" xfId="0" applyBorder="1"/>
    <xf numFmtId="0" fontId="0" fillId="3" borderId="0" xfId="0" applyFill="1"/>
    <xf numFmtId="166" fontId="0" fillId="3" borderId="0" xfId="0" applyNumberFormat="1" applyFill="1"/>
    <xf numFmtId="166" fontId="8" fillId="3" borderId="0" xfId="0" applyNumberFormat="1" applyFont="1" applyFill="1"/>
    <xf numFmtId="166" fontId="0" fillId="0" borderId="0" xfId="0" applyNumberFormat="1"/>
    <xf numFmtId="166" fontId="8" fillId="4" borderId="0" xfId="0" applyNumberFormat="1" applyFont="1" applyFill="1"/>
    <xf numFmtId="166" fontId="8" fillId="0" borderId="0" xfId="0" applyNumberFormat="1" applyFont="1"/>
    <xf numFmtId="0" fontId="0" fillId="5" borderId="0" xfId="0" applyFill="1"/>
    <xf numFmtId="166" fontId="0" fillId="5" borderId="0" xfId="0" applyNumberFormat="1" applyFill="1"/>
    <xf numFmtId="164" fontId="0" fillId="5" borderId="0" xfId="0" applyNumberFormat="1" applyFill="1"/>
    <xf numFmtId="167" fontId="0" fillId="3" borderId="0" xfId="0" applyNumberFormat="1" applyFill="1"/>
    <xf numFmtId="167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6" fontId="8" fillId="2" borderId="0" xfId="0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6" fontId="8" fillId="5" borderId="0" xfId="0" applyNumberFormat="1" applyFon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0" borderId="0" xfId="0" quotePrefix="1" applyAlignment="1">
      <alignment vertical="center"/>
    </xf>
    <xf numFmtId="0" fontId="12" fillId="2" borderId="4" xfId="0" applyFont="1" applyFill="1" applyBorder="1" applyAlignment="1">
      <alignment horizontal="center"/>
    </xf>
    <xf numFmtId="0" fontId="12" fillId="0" borderId="4" xfId="0" applyFont="1" applyBorder="1"/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'GLOBAL CO2'!$A$2</c:f>
              <c:strCache>
                <c:ptCount val="1"/>
                <c:pt idx="0">
                  <c:v>CLUB-0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CO2'!$B$2:$Y$2</c:f>
              <c:numCache>
                <c:formatCode>0.000_ </c:formatCode>
                <c:ptCount val="1"/>
                <c:pt idx="0">
                  <c:v>-0.32408286633512901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7A40-8340-3B5C10F2F27C}"/>
            </c:ext>
          </c:extLst>
        </c:ser>
        <c:ser>
          <c:idx val="1"/>
          <c:order val="1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9-7A40-8340-3B5C10F2F27C}"/>
            </c:ext>
          </c:extLst>
        </c:ser>
        <c:ser>
          <c:idx val="2"/>
          <c:order val="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9-7A40-8340-3B5C10F2F27C}"/>
            </c:ext>
          </c:extLst>
        </c:ser>
        <c:ser>
          <c:idx val="3"/>
          <c:order val="3"/>
          <c:tx>
            <c:strRef>
              <c:f>'GLOBAL CO2'!$A$3</c:f>
              <c:strCache>
                <c:ptCount val="1"/>
                <c:pt idx="0">
                  <c:v>CLUB-1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CO2'!$B$3:$Y$3</c:f>
              <c:numCache>
                <c:formatCode>0.000_ </c:formatCode>
                <c:ptCount val="1"/>
                <c:pt idx="0">
                  <c:v>-1.4359685410771701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69-7A40-8340-3B5C10F2F27C}"/>
            </c:ext>
          </c:extLst>
        </c:ser>
        <c:ser>
          <c:idx val="4"/>
          <c:order val="4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69-7A40-8340-3B5C10F2F27C}"/>
            </c:ext>
          </c:extLst>
        </c:ser>
        <c:ser>
          <c:idx val="5"/>
          <c:order val="5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69-7A40-8340-3B5C10F2F27C}"/>
            </c:ext>
          </c:extLst>
        </c:ser>
        <c:ser>
          <c:idx val="6"/>
          <c:order val="6"/>
          <c:tx>
            <c:strRef>
              <c:f>'GLOBAL CO2'!$A$4</c:f>
              <c:strCache>
                <c:ptCount val="1"/>
                <c:pt idx="0">
                  <c:v>CLUB-2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CO2'!$B$4:$Y$4</c:f>
              <c:numCache>
                <c:formatCode>0.000_ </c:formatCode>
                <c:ptCount val="1"/>
                <c:pt idx="0">
                  <c:v>-13.498685400583099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69-7A40-8340-3B5C10F2F27C}"/>
            </c:ext>
          </c:extLst>
        </c:ser>
        <c:ser>
          <c:idx val="7"/>
          <c:order val="7"/>
          <c:tx>
            <c:strRef>
              <c:f>'GLOBAL CO2'!$A$5</c:f>
              <c:strCache>
                <c:ptCount val="1"/>
                <c:pt idx="0">
                  <c:v>CLUB-G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CO2'!$B$5:$Y$5</c:f>
              <c:numCache>
                <c:formatCode>0.000_ </c:formatCode>
                <c:ptCount val="1"/>
                <c:pt idx="0">
                  <c:v>-17.623632109119502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69-7A40-8340-3B5C10F2F27C}"/>
            </c:ext>
          </c:extLst>
        </c:ser>
        <c:ser>
          <c:idx val="8"/>
          <c:order val="8"/>
          <c:tx>
            <c:strRef>
              <c:f>'GLOBAL CO2'!$A$6</c:f>
              <c:strCache>
                <c:ptCount val="1"/>
                <c:pt idx="0">
                  <c:v>CLUB-0-R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CO2'!$B$6:$Y$6</c:f>
              <c:numCache>
                <c:formatCode>0.000_ </c:formatCode>
                <c:ptCount val="1"/>
                <c:pt idx="0">
                  <c:v>-0.33817075516928702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69-7A40-8340-3B5C10F2F27C}"/>
            </c:ext>
          </c:extLst>
        </c:ser>
        <c:ser>
          <c:idx val="9"/>
          <c:order val="9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69-7A40-8340-3B5C10F2F27C}"/>
            </c:ext>
          </c:extLst>
        </c:ser>
        <c:ser>
          <c:idx val="10"/>
          <c:order val="10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69-7A40-8340-3B5C10F2F27C}"/>
            </c:ext>
          </c:extLst>
        </c:ser>
        <c:ser>
          <c:idx val="11"/>
          <c:order val="11"/>
          <c:tx>
            <c:strRef>
              <c:f>'GLOBAL CO2'!$A$7</c:f>
              <c:strCache>
                <c:ptCount val="1"/>
                <c:pt idx="0">
                  <c:v>CLUB-1-R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CO2'!$B$7:$Y$7</c:f>
              <c:numCache>
                <c:formatCode>0.000_ </c:formatCode>
                <c:ptCount val="1"/>
                <c:pt idx="0">
                  <c:v>-1.65725753195669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69-7A40-8340-3B5C10F2F27C}"/>
            </c:ext>
          </c:extLst>
        </c:ser>
        <c:ser>
          <c:idx val="12"/>
          <c:order val="1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69-7A40-8340-3B5C10F2F27C}"/>
            </c:ext>
          </c:extLst>
        </c:ser>
        <c:ser>
          <c:idx val="13"/>
          <c:order val="13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69-7A40-8340-3B5C10F2F27C}"/>
            </c:ext>
          </c:extLst>
        </c:ser>
        <c:ser>
          <c:idx val="14"/>
          <c:order val="14"/>
          <c:tx>
            <c:strRef>
              <c:f>'GLOBAL CO2'!$A$8</c:f>
              <c:strCache>
                <c:ptCount val="1"/>
                <c:pt idx="0">
                  <c:v>CLUB-2-R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CO2'!$B$8:$Y$8</c:f>
              <c:numCache>
                <c:formatCode>0.000_ </c:formatCode>
                <c:ptCount val="1"/>
                <c:pt idx="0">
                  <c:v>-13.9389777575193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69-7A40-8340-3B5C10F2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72576"/>
        <c:axId val="1123367296"/>
      </c:lineChart>
      <c:catAx>
        <c:axId val="11233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67296"/>
        <c:crosses val="autoZero"/>
        <c:auto val="1"/>
        <c:lblAlgn val="ctr"/>
        <c:lblOffset val="100"/>
        <c:noMultiLvlLbl val="0"/>
      </c:catAx>
      <c:valAx>
        <c:axId val="1123367296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725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1dc4d-bb55-4227-93c9-d1f0d3ff69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LEAK!$A$2</c:f>
              <c:strCache>
                <c:ptCount val="1"/>
                <c:pt idx="0">
                  <c:v>CLUB0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LEAK!$B$2:$Y$2</c:f>
              <c:numCache>
                <c:formatCode>0_ </c:formatCode>
                <c:ptCount val="24"/>
                <c:pt idx="0">
                  <c:v>27.792046271539999</c:v>
                </c:pt>
                <c:pt idx="1">
                  <c:v>30.103398758735501</c:v>
                </c:pt>
                <c:pt idx="2">
                  <c:v>31.1578344514934</c:v>
                </c:pt>
                <c:pt idx="3">
                  <c:v>32.485286352294303</c:v>
                </c:pt>
                <c:pt idx="4">
                  <c:v>33.827272310749201</c:v>
                </c:pt>
                <c:pt idx="5">
                  <c:v>35.103164626866501</c:v>
                </c:pt>
                <c:pt idx="6">
                  <c:v>36.389362292867801</c:v>
                </c:pt>
                <c:pt idx="7">
                  <c:v>37.673771730408198</c:v>
                </c:pt>
                <c:pt idx="8">
                  <c:v>38.952467288205597</c:v>
                </c:pt>
                <c:pt idx="9">
                  <c:v>40.219758458266803</c:v>
                </c:pt>
                <c:pt idx="10">
                  <c:v>41.466605809394601</c:v>
                </c:pt>
                <c:pt idx="11">
                  <c:v>42.691910088663498</c:v>
                </c:pt>
                <c:pt idx="12">
                  <c:v>43.886184551884</c:v>
                </c:pt>
                <c:pt idx="13">
                  <c:v>45.045500261274597</c:v>
                </c:pt>
                <c:pt idx="14">
                  <c:v>46.1652790594961</c:v>
                </c:pt>
                <c:pt idx="15">
                  <c:v>47.233992780985901</c:v>
                </c:pt>
                <c:pt idx="16">
                  <c:v>48.315064861806697</c:v>
                </c:pt>
                <c:pt idx="17">
                  <c:v>49.350422385757703</c:v>
                </c:pt>
                <c:pt idx="18">
                  <c:v>50.343985725670002</c:v>
                </c:pt>
                <c:pt idx="19">
                  <c:v>51.266307080717297</c:v>
                </c:pt>
                <c:pt idx="20">
                  <c:v>52.119843230578802</c:v>
                </c:pt>
                <c:pt idx="21">
                  <c:v>52.997135602961698</c:v>
                </c:pt>
                <c:pt idx="22">
                  <c:v>53.807493522467297</c:v>
                </c:pt>
                <c:pt idx="23">
                  <c:v>54.596944054842297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B-C545-BFAE-38C4E8BFB6C9}"/>
            </c:ext>
          </c:extLst>
        </c:ser>
        <c:ser>
          <c:idx val="1"/>
          <c:order val="1"/>
          <c:tx>
            <c:strRef>
              <c:f>LEAK!$A$3</c:f>
              <c:strCache>
                <c:ptCount val="1"/>
                <c:pt idx="0">
                  <c:v>CLUB1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LEAK!$B$3:$Y$3</c:f>
              <c:numCache>
                <c:formatCode>0_ </c:formatCode>
                <c:ptCount val="24"/>
                <c:pt idx="0">
                  <c:v>21.462230925446601</c:v>
                </c:pt>
                <c:pt idx="1">
                  <c:v>22.8362418036543</c:v>
                </c:pt>
                <c:pt idx="2">
                  <c:v>24.012543002906501</c:v>
                </c:pt>
                <c:pt idx="3">
                  <c:v>25.3234039116997</c:v>
                </c:pt>
                <c:pt idx="4">
                  <c:v>26.725427188081301</c:v>
                </c:pt>
                <c:pt idx="5">
                  <c:v>28.163800526872802</c:v>
                </c:pt>
                <c:pt idx="6">
                  <c:v>29.6458973233892</c:v>
                </c:pt>
                <c:pt idx="7">
                  <c:v>31.1587095725958</c:v>
                </c:pt>
                <c:pt idx="8">
                  <c:v>32.692850335426797</c:v>
                </c:pt>
                <c:pt idx="9">
                  <c:v>34.241644169298503</c:v>
                </c:pt>
                <c:pt idx="10">
                  <c:v>35.790766768434601</c:v>
                </c:pt>
                <c:pt idx="11">
                  <c:v>37.331535808242599</c:v>
                </c:pt>
                <c:pt idx="12">
                  <c:v>38.852741453829204</c:v>
                </c:pt>
                <c:pt idx="13">
                  <c:v>40.344225068850001</c:v>
                </c:pt>
                <c:pt idx="14">
                  <c:v>41.802265674806002</c:v>
                </c:pt>
                <c:pt idx="15">
                  <c:v>43.220837249869902</c:v>
                </c:pt>
                <c:pt idx="16">
                  <c:v>44.6274539680769</c:v>
                </c:pt>
                <c:pt idx="17">
                  <c:v>45.993909334113802</c:v>
                </c:pt>
                <c:pt idx="18">
                  <c:v>47.314074199407102</c:v>
                </c:pt>
                <c:pt idx="19">
                  <c:v>48.5096890074622</c:v>
                </c:pt>
                <c:pt idx="20">
                  <c:v>49.637779056288203</c:v>
                </c:pt>
                <c:pt idx="21">
                  <c:v>50.737535868545898</c:v>
                </c:pt>
                <c:pt idx="22">
                  <c:v>51.776183327219698</c:v>
                </c:pt>
                <c:pt idx="23">
                  <c:v>52.764032466839197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B-C545-BFAE-38C4E8BFB6C9}"/>
            </c:ext>
          </c:extLst>
        </c:ser>
        <c:ser>
          <c:idx val="2"/>
          <c:order val="2"/>
          <c:tx>
            <c:strRef>
              <c:f>LEAK!$A$4</c:f>
              <c:strCache>
                <c:ptCount val="1"/>
                <c:pt idx="0">
                  <c:v>CLUB2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LEAK!$B$4:$Y$4</c:f>
              <c:numCache>
                <c:formatCode>0_ </c:formatCode>
                <c:ptCount val="24"/>
                <c:pt idx="0">
                  <c:v>7.1914610417669103</c:v>
                </c:pt>
                <c:pt idx="1">
                  <c:v>7.2472877067046602</c:v>
                </c:pt>
                <c:pt idx="2">
                  <c:v>7.2614032637774102</c:v>
                </c:pt>
                <c:pt idx="3">
                  <c:v>7.3231981231781198</c:v>
                </c:pt>
                <c:pt idx="4">
                  <c:v>7.4206497051026998</c:v>
                </c:pt>
                <c:pt idx="5">
                  <c:v>7.5388843385298001</c:v>
                </c:pt>
                <c:pt idx="6">
                  <c:v>7.6756201879595798</c:v>
                </c:pt>
                <c:pt idx="7">
                  <c:v>7.82726681708382</c:v>
                </c:pt>
                <c:pt idx="8">
                  <c:v>7.9908562274581598</c:v>
                </c:pt>
                <c:pt idx="9">
                  <c:v>8.1615094626619502</c:v>
                </c:pt>
                <c:pt idx="10">
                  <c:v>8.3387545337100306</c:v>
                </c:pt>
                <c:pt idx="11">
                  <c:v>8.5215390293291602</c:v>
                </c:pt>
                <c:pt idx="12">
                  <c:v>8.70850270609807</c:v>
                </c:pt>
                <c:pt idx="13">
                  <c:v>8.8983653520640296</c:v>
                </c:pt>
                <c:pt idx="14">
                  <c:v>9.0870828100288996</c:v>
                </c:pt>
                <c:pt idx="15">
                  <c:v>9.2824131042027709</c:v>
                </c:pt>
                <c:pt idx="16">
                  <c:v>9.4817752915278195</c:v>
                </c:pt>
                <c:pt idx="17">
                  <c:v>9.6833799177864499</c:v>
                </c:pt>
                <c:pt idx="18">
                  <c:v>9.8858699240629893</c:v>
                </c:pt>
                <c:pt idx="19">
                  <c:v>10.0640136788703</c:v>
                </c:pt>
                <c:pt idx="20">
                  <c:v>10.2403448732054</c:v>
                </c:pt>
                <c:pt idx="21">
                  <c:v>10.4181037764821</c:v>
                </c:pt>
                <c:pt idx="22">
                  <c:v>10.5917588473412</c:v>
                </c:pt>
                <c:pt idx="23">
                  <c:v>10.7619194516219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B-C545-BFAE-38C4E8BFB6C9}"/>
            </c:ext>
          </c:extLst>
        </c:ser>
        <c:ser>
          <c:idx val="3"/>
          <c:order val="3"/>
          <c:tx>
            <c:strRef>
              <c:f>LEAK!$A$5</c:f>
              <c:strCache>
                <c:ptCount val="1"/>
                <c:pt idx="0">
                  <c:v>CLUBG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LEAK!$B$5:$Y$5</c:f>
              <c:numCache>
                <c:formatCode>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B-C545-BFAE-38C4E8BFB6C9}"/>
            </c:ext>
          </c:extLst>
        </c:ser>
        <c:ser>
          <c:idx val="4"/>
          <c:order val="4"/>
          <c:tx>
            <c:strRef>
              <c:f>LEAK!$A$6</c:f>
              <c:strCache>
                <c:ptCount val="1"/>
                <c:pt idx="0">
                  <c:v>CLUB0rt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LEAK!$B$6:$Y$6</c:f>
              <c:numCache>
                <c:formatCode>0_ </c:formatCode>
                <c:ptCount val="24"/>
                <c:pt idx="0">
                  <c:v>31.0742211043708</c:v>
                </c:pt>
                <c:pt idx="1">
                  <c:v>32.368770618381397</c:v>
                </c:pt>
                <c:pt idx="2">
                  <c:v>33.395442510679104</c:v>
                </c:pt>
                <c:pt idx="3">
                  <c:v>34.723966607864597</c:v>
                </c:pt>
                <c:pt idx="4">
                  <c:v>36.187836134977999</c:v>
                </c:pt>
                <c:pt idx="5">
                  <c:v>37.620247147068099</c:v>
                </c:pt>
                <c:pt idx="6">
                  <c:v>39.064405977751498</c:v>
                </c:pt>
                <c:pt idx="7">
                  <c:v>40.5043587524492</c:v>
                </c:pt>
                <c:pt idx="8">
                  <c:v>41.934817992680998</c:v>
                </c:pt>
                <c:pt idx="9">
                  <c:v>43.3517152248385</c:v>
                </c:pt>
                <c:pt idx="10">
                  <c:v>44.741446207350002</c:v>
                </c:pt>
                <c:pt idx="11">
                  <c:v>46.102552291063901</c:v>
                </c:pt>
                <c:pt idx="12">
                  <c:v>47.425560886339802</c:v>
                </c:pt>
                <c:pt idx="13">
                  <c:v>48.704634737952397</c:v>
                </c:pt>
                <c:pt idx="14">
                  <c:v>49.935629875288399</c:v>
                </c:pt>
                <c:pt idx="15">
                  <c:v>51.102718204026303</c:v>
                </c:pt>
                <c:pt idx="16">
                  <c:v>52.274906290499899</c:v>
                </c:pt>
                <c:pt idx="17">
                  <c:v>53.393765652594503</c:v>
                </c:pt>
                <c:pt idx="18">
                  <c:v>54.460965531824897</c:v>
                </c:pt>
                <c:pt idx="19">
                  <c:v>55.438885229203301</c:v>
                </c:pt>
                <c:pt idx="20">
                  <c:v>56.337249505578697</c:v>
                </c:pt>
                <c:pt idx="21">
                  <c:v>57.247941935735597</c:v>
                </c:pt>
                <c:pt idx="22">
                  <c:v>58.084345082067799</c:v>
                </c:pt>
                <c:pt idx="23">
                  <c:v>58.889972946267797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B-C545-BFAE-38C4E8BFB6C9}"/>
            </c:ext>
          </c:extLst>
        </c:ser>
        <c:ser>
          <c:idx val="5"/>
          <c:order val="5"/>
          <c:tx>
            <c:strRef>
              <c:f>LEAK!$A$7</c:f>
              <c:strCache>
                <c:ptCount val="1"/>
                <c:pt idx="0">
                  <c:v>CLUB1rt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LEAK!$B$7:$Y$7</c:f>
              <c:numCache>
                <c:formatCode>0_ </c:formatCode>
                <c:ptCount val="24"/>
                <c:pt idx="0">
                  <c:v>9.8815920723486101</c:v>
                </c:pt>
                <c:pt idx="1">
                  <c:v>15.2180136304219</c:v>
                </c:pt>
                <c:pt idx="2">
                  <c:v>18.171812047742499</c:v>
                </c:pt>
                <c:pt idx="3">
                  <c:v>20.450337580092601</c:v>
                </c:pt>
                <c:pt idx="4">
                  <c:v>22.459505862067498</c:v>
                </c:pt>
                <c:pt idx="5">
                  <c:v>24.303812238098502</c:v>
                </c:pt>
                <c:pt idx="6">
                  <c:v>26.0661973523051</c:v>
                </c:pt>
                <c:pt idx="7">
                  <c:v>27.7783392950255</c:v>
                </c:pt>
                <c:pt idx="8">
                  <c:v>29.457193390894499</c:v>
                </c:pt>
                <c:pt idx="9">
                  <c:v>31.1100737005507</c:v>
                </c:pt>
                <c:pt idx="10">
                  <c:v>32.734736827735397</c:v>
                </c:pt>
                <c:pt idx="11">
                  <c:v>34.331612532989602</c:v>
                </c:pt>
                <c:pt idx="12">
                  <c:v>35.893307800947198</c:v>
                </c:pt>
                <c:pt idx="13">
                  <c:v>37.413700176224602</c:v>
                </c:pt>
                <c:pt idx="14">
                  <c:v>38.888936286139398</c:v>
                </c:pt>
                <c:pt idx="15">
                  <c:v>40.318243423796197</c:v>
                </c:pt>
                <c:pt idx="16">
                  <c:v>41.728094810910598</c:v>
                </c:pt>
                <c:pt idx="17">
                  <c:v>43.092097948989597</c:v>
                </c:pt>
                <c:pt idx="18">
                  <c:v>44.4065234815181</c:v>
                </c:pt>
                <c:pt idx="19">
                  <c:v>45.598851933693602</c:v>
                </c:pt>
                <c:pt idx="20">
                  <c:v>46.722456663233203</c:v>
                </c:pt>
                <c:pt idx="21">
                  <c:v>47.814770511354702</c:v>
                </c:pt>
                <c:pt idx="22">
                  <c:v>48.843741040215399</c:v>
                </c:pt>
                <c:pt idx="23">
                  <c:v>49.819825219896401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B-C545-BFAE-38C4E8BFB6C9}"/>
            </c:ext>
          </c:extLst>
        </c:ser>
        <c:ser>
          <c:idx val="6"/>
          <c:order val="6"/>
          <c:tx>
            <c:strRef>
              <c:f>LEAK!$A$8</c:f>
              <c:strCache>
                <c:ptCount val="1"/>
                <c:pt idx="0">
                  <c:v>CLUB2rt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LEAK!$B$8:$Y$8</c:f>
              <c:numCache>
                <c:formatCode>0_ </c:formatCode>
                <c:ptCount val="24"/>
                <c:pt idx="0">
                  <c:v>3.8499402021270699</c:v>
                </c:pt>
                <c:pt idx="1">
                  <c:v>5.2948267045641204</c:v>
                </c:pt>
                <c:pt idx="2">
                  <c:v>5.8418594485792701</c:v>
                </c:pt>
                <c:pt idx="3">
                  <c:v>6.1894568827633396</c:v>
                </c:pt>
                <c:pt idx="4">
                  <c:v>6.46880062239849</c:v>
                </c:pt>
                <c:pt idx="5">
                  <c:v>6.7112356737416299</c:v>
                </c:pt>
                <c:pt idx="6">
                  <c:v>6.9383467193297399</c:v>
                </c:pt>
                <c:pt idx="7">
                  <c:v>7.1587674695242898</c:v>
                </c:pt>
                <c:pt idx="8">
                  <c:v>7.3767182307374197</c:v>
                </c:pt>
                <c:pt idx="9">
                  <c:v>7.5911783083526503</c:v>
                </c:pt>
                <c:pt idx="10">
                  <c:v>7.8049027722486199</c:v>
                </c:pt>
                <c:pt idx="11">
                  <c:v>8.0188416205004494</c:v>
                </c:pt>
                <c:pt idx="12">
                  <c:v>8.2327761352713598</c:v>
                </c:pt>
                <c:pt idx="13">
                  <c:v>8.4464265864626498</c:v>
                </c:pt>
                <c:pt idx="14">
                  <c:v>8.6561629219084892</c:v>
                </c:pt>
                <c:pt idx="15">
                  <c:v>8.8706464070109892</c:v>
                </c:pt>
                <c:pt idx="16">
                  <c:v>9.0881392671246903</c:v>
                </c:pt>
                <c:pt idx="17">
                  <c:v>9.3072179055358308</c:v>
                </c:pt>
                <c:pt idx="18">
                  <c:v>9.5266093695626708</c:v>
                </c:pt>
                <c:pt idx="19">
                  <c:v>9.7208800968598599</c:v>
                </c:pt>
                <c:pt idx="20">
                  <c:v>9.9127109978122192</c:v>
                </c:pt>
                <c:pt idx="21">
                  <c:v>10.106996548861099</c:v>
                </c:pt>
                <c:pt idx="22">
                  <c:v>10.297430278013801</c:v>
                </c:pt>
                <c:pt idx="23">
                  <c:v>10.4850372853147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B-C545-BFAE-38C4E8BF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05735"/>
        <c:axId val="210398215"/>
      </c:lineChart>
      <c:catAx>
        <c:axId val="125605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215"/>
        <c:crosses val="autoZero"/>
        <c:auto val="1"/>
        <c:lblAlgn val="ctr"/>
        <c:lblOffset val="100"/>
        <c:noMultiLvlLbl val="0"/>
      </c:catAx>
      <c:valAx>
        <c:axId val="21039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82374e-fc4d-4db6-84a9-72ccde0d8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10</xdr:row>
      <xdr:rowOff>19050</xdr:rowOff>
    </xdr:from>
    <xdr:to>
      <xdr:col>16</xdr:col>
      <xdr:colOff>628650</xdr:colOff>
      <xdr:row>33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13</xdr:row>
      <xdr:rowOff>88900</xdr:rowOff>
    </xdr:from>
    <xdr:to>
      <xdr:col>23</xdr:col>
      <xdr:colOff>390525</xdr:colOff>
      <xdr:row>39</xdr:row>
      <xdr:rowOff>78740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1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4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7r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6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2r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3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ning_an/Documents/AP4&#19978;&#20869;&#23481;/CBAM/version%205/Figure%202/club5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-1.44522440437278E-3</v>
          </cell>
          <cell r="C2">
            <v>2.5737380198176402E-4</v>
          </cell>
          <cell r="D2">
            <v>-4.4216626261528398E-4</v>
          </cell>
          <cell r="E2">
            <v>3.6837841932424501E-5</v>
          </cell>
          <cell r="F2">
            <v>2.5479627552282797E-4</v>
          </cell>
          <cell r="G2">
            <v>5.4621502587615098E-5</v>
          </cell>
          <cell r="H2">
            <v>-9.6074698929804497E-5</v>
          </cell>
          <cell r="I2">
            <v>-1.49812109340175E-4</v>
          </cell>
          <cell r="J2">
            <v>-4.2706060554564802E-5</v>
          </cell>
          <cell r="K2">
            <v>2.3012765573149401E-4</v>
          </cell>
          <cell r="L2">
            <v>7.2353198723451595E-4</v>
          </cell>
          <cell r="M2">
            <v>1.4562742122192799E-3</v>
          </cell>
          <cell r="N2">
            <v>2.4157144752567899E-3</v>
          </cell>
          <cell r="O2">
            <v>3.6437740270178799E-3</v>
          </cell>
          <cell r="P2">
            <v>5.1531898167089798E-3</v>
          </cell>
          <cell r="Q2">
            <v>6.91520208797591E-3</v>
          </cell>
          <cell r="R2">
            <v>9.3230843596359102E-3</v>
          </cell>
          <cell r="S2">
            <v>1.19660142235523E-2</v>
          </cell>
          <cell r="T2">
            <v>1.49178485956858E-2</v>
          </cell>
          <cell r="U2">
            <v>1.8406402355153301E-2</v>
          </cell>
          <cell r="V2">
            <v>2.1863417026746199E-2</v>
          </cell>
          <cell r="W2">
            <v>2.6466788933388101E-2</v>
          </cell>
          <cell r="X2">
            <v>3.1005962802210799E-2</v>
          </cell>
          <cell r="Y2">
            <v>3.61775073373094E-2</v>
          </cell>
        </row>
        <row r="3">
          <cell r="B3">
            <v>-0.104900402609542</v>
          </cell>
          <cell r="C3">
            <v>-0.18462855123312399</v>
          </cell>
          <cell r="D3">
            <v>-0.249077436173362</v>
          </cell>
          <cell r="E3">
            <v>-0.29853765219349798</v>
          </cell>
          <cell r="F3">
            <v>-0.33607657593560702</v>
          </cell>
          <cell r="G3">
            <v>-0.36454686278729598</v>
          </cell>
          <cell r="H3">
            <v>-0.38530715190612203</v>
          </cell>
          <cell r="I3">
            <v>-0.39979412361407202</v>
          </cell>
          <cell r="J3">
            <v>-0.40912645347654902</v>
          </cell>
          <cell r="K3">
            <v>-0.41427152934647699</v>
          </cell>
          <cell r="L3">
            <v>-0.41602381314680398</v>
          </cell>
          <cell r="M3">
            <v>-0.41503611595737899</v>
          </cell>
          <cell r="N3">
            <v>-0.41190843537094501</v>
          </cell>
          <cell r="O3">
            <v>-0.40714428883670301</v>
          </cell>
          <cell r="P3">
            <v>-0.40096479691098502</v>
          </cell>
          <cell r="Q3">
            <v>-0.39381546577006399</v>
          </cell>
          <cell r="R3">
            <v>-0.385447277983197</v>
          </cell>
          <cell r="S3">
            <v>-0.37652351265770001</v>
          </cell>
          <cell r="T3">
            <v>-0.367203047533116</v>
          </cell>
          <cell r="U3">
            <v>-0.35872723699829101</v>
          </cell>
          <cell r="V3">
            <v>-0.35039893298966002</v>
          </cell>
          <cell r="W3">
            <v>-0.34147930574743901</v>
          </cell>
          <cell r="X3">
            <v>-0.33280344320505401</v>
          </cell>
          <cell r="Y3">
            <v>-0.32408286633512901</v>
          </cell>
        </row>
      </sheetData>
      <sheetData sheetId="1">
        <row r="25">
          <cell r="B25">
            <v>-7.8302126422147303E-2</v>
          </cell>
          <cell r="C25">
            <v>-0.37598291872708001</v>
          </cell>
          <cell r="D25">
            <v>0.16962184539583999</v>
          </cell>
          <cell r="E25">
            <v>0.46597533129095797</v>
          </cell>
          <cell r="F25">
            <v>-7.9116394469114199E-5</v>
          </cell>
          <cell r="G25">
            <v>-4.0941517192472103E-3</v>
          </cell>
          <cell r="H25">
            <v>-0.29959039090596801</v>
          </cell>
          <cell r="I25">
            <v>-0.205350353798994</v>
          </cell>
          <cell r="J25">
            <v>-4.14279088661762E-2</v>
          </cell>
          <cell r="K25">
            <v>-2.2748584100451601E-2</v>
          </cell>
        </row>
      </sheetData>
      <sheetData sheetId="2"/>
      <sheetData sheetId="3"/>
      <sheetData sheetId="4"/>
      <sheetData sheetId="5">
        <row r="25">
          <cell r="B25">
            <v>0.75288615221458199</v>
          </cell>
          <cell r="C25">
            <v>0.302885110635565</v>
          </cell>
          <cell r="D25">
            <v>0.62089062180827903</v>
          </cell>
          <cell r="E25">
            <v>1.56997899203972</v>
          </cell>
          <cell r="F25">
            <v>0.43838211798634702</v>
          </cell>
          <cell r="G25">
            <v>0.34623362024197601</v>
          </cell>
          <cell r="H25">
            <v>1.32053313466891</v>
          </cell>
          <cell r="I25">
            <v>-2.6391362855599598</v>
          </cell>
          <cell r="J25">
            <v>0.60828450519256905</v>
          </cell>
          <cell r="K25">
            <v>0.75403127383788504</v>
          </cell>
        </row>
      </sheetData>
      <sheetData sheetId="6">
        <row r="25">
          <cell r="B25">
            <v>-0.43235337694528297</v>
          </cell>
          <cell r="C25">
            <v>-3.19193712556164</v>
          </cell>
          <cell r="D25">
            <v>2.2025123210951598</v>
          </cell>
          <cell r="E25">
            <v>4.1709975361712699</v>
          </cell>
          <cell r="F25">
            <v>0.49897894917554397</v>
          </cell>
          <cell r="G25">
            <v>-9.1020671474317805E-2</v>
          </cell>
          <cell r="H25">
            <v>-1.1794159970479901</v>
          </cell>
          <cell r="I25">
            <v>-2.4887019809490298</v>
          </cell>
          <cell r="J25">
            <v>-0.214336383821356</v>
          </cell>
          <cell r="K25">
            <v>0.44193064460009701</v>
          </cell>
        </row>
      </sheetData>
      <sheetData sheetId="7"/>
      <sheetData sheetId="8"/>
      <sheetData sheetId="9"/>
      <sheetData sheetId="10">
        <row r="25">
          <cell r="B25">
            <v>0.20635650741422901</v>
          </cell>
          <cell r="C25">
            <v>-0.31457385425428502</v>
          </cell>
          <cell r="D25">
            <v>0.37632625950718701</v>
          </cell>
          <cell r="E25">
            <v>0.66502414092668405</v>
          </cell>
          <cell r="F25">
            <v>0.54460861908221003</v>
          </cell>
          <cell r="G25">
            <v>0.47278535481871697</v>
          </cell>
          <cell r="H25">
            <v>1.9192364465903101E-2</v>
          </cell>
          <cell r="I25">
            <v>-13.901573327991899</v>
          </cell>
          <cell r="J25">
            <v>0.726779146958623</v>
          </cell>
          <cell r="K25">
            <v>0.50869626886185204</v>
          </cell>
        </row>
      </sheetData>
      <sheetData sheetId="11"/>
      <sheetData sheetId="12"/>
      <sheetData sheetId="13">
        <row r="2">
          <cell r="A2">
            <v>27.792046271539999</v>
          </cell>
          <cell r="B2">
            <v>30.103398758735501</v>
          </cell>
          <cell r="C2">
            <v>31.1578344514934</v>
          </cell>
          <cell r="D2">
            <v>32.485286352294303</v>
          </cell>
          <cell r="E2">
            <v>33.827272310749201</v>
          </cell>
          <cell r="F2">
            <v>35.103164626866501</v>
          </cell>
          <cell r="G2">
            <v>36.389362292867801</v>
          </cell>
          <cell r="H2">
            <v>37.673771730408198</v>
          </cell>
          <cell r="I2">
            <v>38.952467288205597</v>
          </cell>
          <cell r="J2">
            <v>40.219758458266803</v>
          </cell>
          <cell r="K2">
            <v>41.466605809394601</v>
          </cell>
          <cell r="L2">
            <v>42.691910088663498</v>
          </cell>
          <cell r="M2">
            <v>43.886184551884</v>
          </cell>
          <cell r="N2">
            <v>45.045500261274597</v>
          </cell>
          <cell r="O2">
            <v>46.1652790594961</v>
          </cell>
          <cell r="P2">
            <v>47.233992780985901</v>
          </cell>
          <cell r="Q2">
            <v>48.315064861806697</v>
          </cell>
          <cell r="R2">
            <v>49.350422385757703</v>
          </cell>
          <cell r="S2">
            <v>50.343985725670002</v>
          </cell>
          <cell r="T2">
            <v>51.266307080717297</v>
          </cell>
          <cell r="U2">
            <v>52.119843230578802</v>
          </cell>
          <cell r="V2">
            <v>52.997135602961698</v>
          </cell>
          <cell r="W2">
            <v>53.807493522467297</v>
          </cell>
          <cell r="X2">
            <v>54.596944054842297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-3.44870210379211E-3</v>
          </cell>
          <cell r="C2">
            <v>-4.5535572315569296E-3</v>
          </cell>
          <cell r="D2">
            <v>-8.6680068660749399E-3</v>
          </cell>
          <cell r="E2">
            <v>-1.20379456303832E-2</v>
          </cell>
          <cell r="F2">
            <v>-1.5889172708427601E-2</v>
          </cell>
          <cell r="G2">
            <v>-2.0332526571731301E-2</v>
          </cell>
          <cell r="H2">
            <v>-2.4826176852632598E-2</v>
          </cell>
          <cell r="I2">
            <v>-2.9270769620059998E-2</v>
          </cell>
          <cell r="J2">
            <v>-3.3554606089392099E-2</v>
          </cell>
          <cell r="K2">
            <v>-3.7625967970311702E-2</v>
          </cell>
          <cell r="L2">
            <v>-4.1414584085519603E-2</v>
          </cell>
          <cell r="M2">
            <v>-4.4870543909059098E-2</v>
          </cell>
          <cell r="N2">
            <v>-4.7998368890789199E-2</v>
          </cell>
          <cell r="O2">
            <v>-5.0743410989240199E-2</v>
          </cell>
          <cell r="P2">
            <v>-5.30842412913013E-2</v>
          </cell>
          <cell r="Q2">
            <v>-5.50763320354863E-2</v>
          </cell>
          <cell r="R2">
            <v>-5.6235492316647498E-2</v>
          </cell>
          <cell r="S2">
            <v>-5.70141757843423E-2</v>
          </cell>
          <cell r="T2">
            <v>-5.7355847706663798E-2</v>
          </cell>
          <cell r="U2">
            <v>-5.7144198338599003E-2</v>
          </cell>
          <cell r="V2">
            <v>-5.69413040171107E-2</v>
          </cell>
          <cell r="W2">
            <v>-5.5474206700756298E-2</v>
          </cell>
          <cell r="X2">
            <v>-5.4026171513721397E-2</v>
          </cell>
          <cell r="Y2">
            <v>-5.1924351505527898E-2</v>
          </cell>
        </row>
        <row r="3">
          <cell r="B3">
            <v>-0.43522239086419801</v>
          </cell>
          <cell r="C3">
            <v>-0.78468659772128502</v>
          </cell>
          <cell r="D3">
            <v>-1.0665144441935901</v>
          </cell>
          <cell r="E3">
            <v>-1.2884439333486699</v>
          </cell>
          <cell r="F3">
            <v>-1.4598292986279999</v>
          </cell>
          <cell r="G3">
            <v>-1.59094870988123</v>
          </cell>
          <cell r="H3">
            <v>-1.68820896747285</v>
          </cell>
          <cell r="I3">
            <v>-1.75739093992064</v>
          </cell>
          <cell r="J3">
            <v>-1.8032245832788001</v>
          </cell>
          <cell r="K3">
            <v>-1.82952158625672</v>
          </cell>
          <cell r="L3">
            <v>-1.83999545118765</v>
          </cell>
          <cell r="M3">
            <v>-1.8376587880014399</v>
          </cell>
          <cell r="N3">
            <v>-1.8251042878894601</v>
          </cell>
          <cell r="O3">
            <v>-1.80467128785778</v>
          </cell>
          <cell r="P3">
            <v>-1.77794395969718</v>
          </cell>
          <cell r="Q3">
            <v>-1.74597168044589</v>
          </cell>
          <cell r="R3">
            <v>-1.70896406746193</v>
          </cell>
          <cell r="S3">
            <v>-1.66881424449614</v>
          </cell>
          <cell r="T3">
            <v>-1.6266904375973601</v>
          </cell>
          <cell r="U3">
            <v>-1.58878680007262</v>
          </cell>
          <cell r="V3">
            <v>-1.5509259281639001</v>
          </cell>
          <cell r="W3">
            <v>-1.5119888050981301</v>
          </cell>
          <cell r="X3">
            <v>-1.4736744333932099</v>
          </cell>
          <cell r="Y3">
            <v>-1.4359685410771701</v>
          </cell>
        </row>
      </sheetData>
      <sheetData sheetId="1">
        <row r="25">
          <cell r="B25">
            <v>-0.30201613690338203</v>
          </cell>
          <cell r="C25">
            <v>-0.68125627634193497</v>
          </cell>
          <cell r="D25">
            <v>0.165034825862476</v>
          </cell>
          <cell r="E25">
            <v>0.50492374958777098</v>
          </cell>
          <cell r="F25">
            <v>-0.118226275388289</v>
          </cell>
          <cell r="G25">
            <v>-0.24687070634570299</v>
          </cell>
          <cell r="H25">
            <v>-0.54722375425877401</v>
          </cell>
          <cell r="I25">
            <v>-0.14599114364169899</v>
          </cell>
          <cell r="J25">
            <v>-0.33466806392277199</v>
          </cell>
          <cell r="K25">
            <v>-4.0196213126386701E-2</v>
          </cell>
        </row>
      </sheetData>
      <sheetData sheetId="2"/>
      <sheetData sheetId="3"/>
      <sheetData sheetId="4"/>
      <sheetData sheetId="5">
        <row r="25">
          <cell r="B25">
            <v>-0.180804149932179</v>
          </cell>
          <cell r="C25">
            <v>-4.7196698286167099E-2</v>
          </cell>
          <cell r="D25">
            <v>0.400632108406906</v>
          </cell>
          <cell r="E25">
            <v>1.6684618914834199</v>
          </cell>
          <cell r="F25">
            <v>-0.43825353199656902</v>
          </cell>
          <cell r="G25">
            <v>-1.0729499204887201</v>
          </cell>
          <cell r="H25">
            <v>1.3223514376482299</v>
          </cell>
          <cell r="I25">
            <v>-2.15252085244293</v>
          </cell>
          <cell r="J25">
            <v>-1.81449183421027</v>
          </cell>
          <cell r="K25">
            <v>0.71199494571292399</v>
          </cell>
        </row>
      </sheetData>
      <sheetData sheetId="6">
        <row r="25">
          <cell r="B25">
            <v>-1.78004481678612</v>
          </cell>
          <cell r="C25">
            <v>-6.2228358672285298</v>
          </cell>
          <cell r="D25">
            <v>2.0601853111786599</v>
          </cell>
          <cell r="E25">
            <v>5.0507780579141404</v>
          </cell>
          <cell r="F25">
            <v>-0.61910670774038001</v>
          </cell>
          <cell r="G25">
            <v>-1.15990972075244</v>
          </cell>
          <cell r="H25">
            <v>-2.7670068806937702</v>
          </cell>
          <cell r="I25">
            <v>-1.4790395147700299</v>
          </cell>
          <cell r="J25">
            <v>-2.3814428008613899</v>
          </cell>
          <cell r="K25">
            <v>0.56819628396333999</v>
          </cell>
        </row>
      </sheetData>
      <sheetData sheetId="7"/>
      <sheetData sheetId="8"/>
      <sheetData sheetId="9"/>
      <sheetData sheetId="10">
        <row r="25">
          <cell r="B25">
            <v>-8.2069949893777494</v>
          </cell>
          <cell r="C25">
            <v>-0.33369719274954901</v>
          </cell>
          <cell r="D25">
            <v>1.74030527931501</v>
          </cell>
          <cell r="E25">
            <v>3.6732176435965198</v>
          </cell>
          <cell r="F25">
            <v>2.0982562004725902</v>
          </cell>
          <cell r="G25">
            <v>-16.113793838748801</v>
          </cell>
          <cell r="H25">
            <v>0.91975920070512796</v>
          </cell>
          <cell r="I25">
            <v>-12.4367760222299</v>
          </cell>
          <cell r="J25">
            <v>-14.087043056833799</v>
          </cell>
          <cell r="K25">
            <v>2.5308403348090098</v>
          </cell>
        </row>
      </sheetData>
      <sheetData sheetId="11"/>
      <sheetData sheetId="12"/>
      <sheetData sheetId="13">
        <row r="2">
          <cell r="A2">
            <v>21.462230925446601</v>
          </cell>
          <cell r="B2">
            <v>22.8362418036543</v>
          </cell>
          <cell r="C2">
            <v>24.012543002906501</v>
          </cell>
          <cell r="D2">
            <v>25.3234039116997</v>
          </cell>
          <cell r="E2">
            <v>26.725427188081301</v>
          </cell>
          <cell r="F2">
            <v>28.163800526872802</v>
          </cell>
          <cell r="G2">
            <v>29.6458973233892</v>
          </cell>
          <cell r="H2">
            <v>31.1587095725958</v>
          </cell>
          <cell r="I2">
            <v>32.692850335426797</v>
          </cell>
          <cell r="J2">
            <v>34.241644169298503</v>
          </cell>
          <cell r="K2">
            <v>35.790766768434601</v>
          </cell>
          <cell r="L2">
            <v>37.331535808242599</v>
          </cell>
          <cell r="M2">
            <v>38.852741453829204</v>
          </cell>
          <cell r="N2">
            <v>40.344225068850001</v>
          </cell>
          <cell r="O2">
            <v>41.802265674806002</v>
          </cell>
          <cell r="P2">
            <v>43.220837249869902</v>
          </cell>
          <cell r="Q2">
            <v>44.6274539680769</v>
          </cell>
          <cell r="R2">
            <v>45.993909334113802</v>
          </cell>
          <cell r="S2">
            <v>47.314074199407102</v>
          </cell>
          <cell r="T2">
            <v>48.5096890074622</v>
          </cell>
          <cell r="U2">
            <v>49.637779056288203</v>
          </cell>
          <cell r="V2">
            <v>50.737535868545898</v>
          </cell>
          <cell r="W2">
            <v>51.776183327219698</v>
          </cell>
          <cell r="X2">
            <v>52.764032466839197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-6.9091228896645002E-3</v>
          </cell>
          <cell r="C2">
            <v>-1.47661269565336E-2</v>
          </cell>
          <cell r="D2">
            <v>-2.8668758284256E-2</v>
          </cell>
          <cell r="E2">
            <v>-4.4557896703756303E-2</v>
          </cell>
          <cell r="F2">
            <v>-6.3333656173658603E-2</v>
          </cell>
          <cell r="G2">
            <v>-8.4968745795666004E-2</v>
          </cell>
          <cell r="H2">
            <v>-0.108771723677625</v>
          </cell>
          <cell r="I2">
            <v>-0.13450735277957801</v>
          </cell>
          <cell r="J2">
            <v>-0.16192576762733599</v>
          </cell>
          <cell r="K2">
            <v>-0.19086550844886799</v>
          </cell>
          <cell r="L2">
            <v>-0.22109034708195399</v>
          </cell>
          <cell r="M2">
            <v>-0.25238341416240501</v>
          </cell>
          <cell r="N2">
            <v>-0.28458695200612699</v>
          </cell>
          <cell r="O2">
            <v>-0.31745322713576701</v>
          </cell>
          <cell r="P2">
            <v>-0.35083816744562202</v>
          </cell>
          <cell r="Q2">
            <v>-0.38460216238733702</v>
          </cell>
          <cell r="R2">
            <v>-0.41787365571482898</v>
          </cell>
          <cell r="S2">
            <v>-0.45093218777535499</v>
          </cell>
          <cell r="T2">
            <v>-0.48351712168513999</v>
          </cell>
          <cell r="U2">
            <v>-0.51535157246464003</v>
          </cell>
          <cell r="V2">
            <v>-0.54682136088645095</v>
          </cell>
          <cell r="W2">
            <v>-0.57618458736081701</v>
          </cell>
          <cell r="X2">
            <v>-0.604587494278785</v>
          </cell>
          <cell r="Y2">
            <v>-0.63109799335726602</v>
          </cell>
        </row>
        <row r="3">
          <cell r="B3">
            <v>-1.6987049282028299</v>
          </cell>
          <cell r="C3">
            <v>-3.1984161090855898</v>
          </cell>
          <cell r="D3">
            <v>-4.5315934107097</v>
          </cell>
          <cell r="E3">
            <v>-5.7096464352814396</v>
          </cell>
          <cell r="F3">
            <v>-6.7438168079788303</v>
          </cell>
          <cell r="G3">
            <v>-7.6585018024398597</v>
          </cell>
          <cell r="H3">
            <v>-8.4684129794513101</v>
          </cell>
          <cell r="I3">
            <v>-9.1863299286439908</v>
          </cell>
          <cell r="J3">
            <v>-9.8225960877399903</v>
          </cell>
          <cell r="K3">
            <v>-10.3873692071632</v>
          </cell>
          <cell r="L3">
            <v>-10.887301038768101</v>
          </cell>
          <cell r="M3">
            <v>-11.32823394665</v>
          </cell>
          <cell r="N3">
            <v>-11.7159157139047</v>
          </cell>
          <cell r="O3">
            <v>-12.055249478801001</v>
          </cell>
          <cell r="P3">
            <v>-12.352524811214</v>
          </cell>
          <cell r="Q3">
            <v>-12.605143324362601</v>
          </cell>
          <cell r="R3">
            <v>-12.8141049217376</v>
          </cell>
          <cell r="S3">
            <v>-12.983334229490399</v>
          </cell>
          <cell r="T3">
            <v>-13.1170549499411</v>
          </cell>
          <cell r="U3">
            <v>-13.2464597433507</v>
          </cell>
          <cell r="V3">
            <v>-13.350146092108799</v>
          </cell>
          <cell r="W3">
            <v>-13.423076176919301</v>
          </cell>
          <cell r="X3">
            <v>-13.4722855127645</v>
          </cell>
          <cell r="Y3">
            <v>-13.498685400583099</v>
          </cell>
        </row>
      </sheetData>
      <sheetData sheetId="1">
        <row r="25">
          <cell r="B25">
            <v>-0.41639985933575901</v>
          </cell>
          <cell r="C25">
            <v>-1.39076455920362</v>
          </cell>
          <cell r="D25">
            <v>-1.3956810106473001</v>
          </cell>
          <cell r="E25">
            <v>-0.38868959439302098</v>
          </cell>
          <cell r="F25">
            <v>-0.382681890745451</v>
          </cell>
          <cell r="G25">
            <v>-0.26944061545000098</v>
          </cell>
          <cell r="H25">
            <v>-1.2346108396623601</v>
          </cell>
          <cell r="I25">
            <v>-4.33786659892577E-2</v>
          </cell>
          <cell r="J25">
            <v>-0.26507763369279003</v>
          </cell>
          <cell r="K25">
            <v>-0.24387184994675301</v>
          </cell>
        </row>
      </sheetData>
      <sheetData sheetId="2"/>
      <sheetData sheetId="3"/>
      <sheetData sheetId="4"/>
      <sheetData sheetId="5">
        <row r="25">
          <cell r="B25">
            <v>1.58517544591501</v>
          </cell>
          <cell r="C25">
            <v>-0.22284213798785499</v>
          </cell>
          <cell r="D25">
            <v>-4.7190639414012496</v>
          </cell>
          <cell r="E25">
            <v>-6.1467991443928396</v>
          </cell>
          <cell r="F25">
            <v>-1.0154702204369801</v>
          </cell>
          <cell r="G25">
            <v>-0.32667779372128602</v>
          </cell>
          <cell r="H25">
            <v>1.3011085354710099</v>
          </cell>
          <cell r="I25">
            <v>-1.7660536089877299</v>
          </cell>
          <cell r="J25">
            <v>2.83059508561223E-3</v>
          </cell>
          <cell r="K25">
            <v>4.0375257534463999E-2</v>
          </cell>
        </row>
      </sheetData>
      <sheetData sheetId="6">
        <row r="25">
          <cell r="B25">
            <v>-2.0138625550703</v>
          </cell>
          <cell r="C25">
            <v>-12.772980453447699</v>
          </cell>
          <cell r="D25">
            <v>-0.55600944824383303</v>
          </cell>
          <cell r="E25">
            <v>1.2037652814586</v>
          </cell>
          <cell r="F25">
            <v>-1.0371803420752299</v>
          </cell>
          <cell r="G25">
            <v>-0.99050753022945603</v>
          </cell>
          <cell r="H25">
            <v>-8.0851740518517197</v>
          </cell>
          <cell r="I25">
            <v>-0.46322907901757998</v>
          </cell>
          <cell r="J25">
            <v>-1.5809856118662899</v>
          </cell>
          <cell r="K25">
            <v>-0.59393433157224296</v>
          </cell>
        </row>
      </sheetData>
      <sheetData sheetId="7"/>
      <sheetData sheetId="8"/>
      <sheetData sheetId="9"/>
      <sheetData sheetId="10">
        <row r="25">
          <cell r="B25">
            <v>-7.41871901866834</v>
          </cell>
          <cell r="C25">
            <v>2.47032367553388</v>
          </cell>
          <cell r="D25">
            <v>-25.628659898984601</v>
          </cell>
          <cell r="E25">
            <v>-17.724729510183099</v>
          </cell>
          <cell r="F25">
            <v>-11.4946875573205</v>
          </cell>
          <cell r="G25">
            <v>-14.5505723088288</v>
          </cell>
          <cell r="H25">
            <v>2.7460299147670701</v>
          </cell>
          <cell r="I25">
            <v>-10.3235583629264</v>
          </cell>
          <cell r="J25">
            <v>-10.831659569789</v>
          </cell>
          <cell r="K25">
            <v>9.4786429700951995</v>
          </cell>
        </row>
      </sheetData>
      <sheetData sheetId="11"/>
      <sheetData sheetId="12"/>
      <sheetData sheetId="13">
        <row r="2">
          <cell r="A2">
            <v>7.1914610417669103</v>
          </cell>
          <cell r="B2">
            <v>7.2472877067046602</v>
          </cell>
          <cell r="C2">
            <v>7.2614032637774102</v>
          </cell>
          <cell r="D2">
            <v>7.3231981231781198</v>
          </cell>
          <cell r="E2">
            <v>7.4206497051026998</v>
          </cell>
          <cell r="F2">
            <v>7.5388843385298001</v>
          </cell>
          <cell r="G2">
            <v>7.6756201879595798</v>
          </cell>
          <cell r="H2">
            <v>7.82726681708382</v>
          </cell>
          <cell r="I2">
            <v>7.9908562274581598</v>
          </cell>
          <cell r="J2">
            <v>8.1615094626619502</v>
          </cell>
          <cell r="K2">
            <v>8.3387545337100306</v>
          </cell>
          <cell r="L2">
            <v>8.5215390293291602</v>
          </cell>
          <cell r="M2">
            <v>8.70850270609807</v>
          </cell>
          <cell r="N2">
            <v>8.8983653520640296</v>
          </cell>
          <cell r="O2">
            <v>9.0870828100288996</v>
          </cell>
          <cell r="P2">
            <v>9.2824131042027709</v>
          </cell>
          <cell r="Q2">
            <v>9.4817752915278195</v>
          </cell>
          <cell r="R2">
            <v>9.6833799177864499</v>
          </cell>
          <cell r="S2">
            <v>9.8858699240629893</v>
          </cell>
          <cell r="T2">
            <v>10.0640136788703</v>
          </cell>
          <cell r="U2">
            <v>10.2403448732054</v>
          </cell>
          <cell r="V2">
            <v>10.4181037764821</v>
          </cell>
          <cell r="W2">
            <v>10.5917588473412</v>
          </cell>
          <cell r="X2">
            <v>10.7619194516219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-5.98593392991953E-3</v>
          </cell>
          <cell r="C2">
            <v>-1.36838111840176E-2</v>
          </cell>
          <cell r="D2">
            <v>-2.81397748535861E-2</v>
          </cell>
          <cell r="E2">
            <v>-4.5160759704032702E-2</v>
          </cell>
          <cell r="F2">
            <v>-6.5526848447350294E-2</v>
          </cell>
          <cell r="G2">
            <v>-8.9137645159131904E-2</v>
          </cell>
          <cell r="H2">
            <v>-0.115231241236735</v>
          </cell>
          <cell r="I2">
            <v>-0.14351344876150099</v>
          </cell>
          <cell r="J2">
            <v>-0.17368317277098899</v>
          </cell>
          <cell r="K2">
            <v>-0.20553819740454199</v>
          </cell>
          <cell r="L2">
            <v>-0.23879817052371299</v>
          </cell>
          <cell r="M2">
            <v>-0.27321383223560802</v>
          </cell>
          <cell r="N2">
            <v>-0.30860308622413501</v>
          </cell>
          <cell r="O2">
            <v>-0.344696876143058</v>
          </cell>
          <cell r="P2">
            <v>-0.38131519148529902</v>
          </cell>
          <cell r="Q2">
            <v>-0.41831967847414397</v>
          </cell>
          <cell r="R2">
            <v>-0.45475353144343</v>
          </cell>
          <cell r="S2">
            <v>-0.49089292103181598</v>
          </cell>
          <cell r="T2">
            <v>-0.52646886947172999</v>
          </cell>
          <cell r="U2">
            <v>-0.56124096537730805</v>
          </cell>
          <cell r="V2">
            <v>-0.59556603816839404</v>
          </cell>
          <cell r="W2">
            <v>-0.62762288362916396</v>
          </cell>
          <cell r="X2">
            <v>-0.658559695890093</v>
          </cell>
          <cell r="Y2">
            <v>-0.68742514565782697</v>
          </cell>
        </row>
        <row r="3">
          <cell r="B3">
            <v>-2.1108790189802602</v>
          </cell>
          <cell r="C3">
            <v>-3.9978556602089199</v>
          </cell>
          <cell r="D3">
            <v>-5.6883451862919001</v>
          </cell>
          <cell r="E3">
            <v>-7.1904394376690002</v>
          </cell>
          <cell r="F3">
            <v>-8.5154577811481307</v>
          </cell>
          <cell r="G3">
            <v>-9.6916227288495804</v>
          </cell>
          <cell r="H3">
            <v>-10.7367143843367</v>
          </cell>
          <cell r="I3">
            <v>-11.666669284608799</v>
          </cell>
          <cell r="J3">
            <v>-12.4944521188569</v>
          </cell>
          <cell r="K3">
            <v>-13.2315963774333</v>
          </cell>
          <cell r="L3">
            <v>-13.887511679541101</v>
          </cell>
          <cell r="M3">
            <v>-14.469846329348201</v>
          </cell>
          <cell r="N3">
            <v>-14.9862703435142</v>
          </cell>
          <cell r="O3">
            <v>-15.443213374052</v>
          </cell>
          <cell r="P3">
            <v>-15.846171155756</v>
          </cell>
          <cell r="Q3">
            <v>-16.1974329314953</v>
          </cell>
          <cell r="R3">
            <v>-16.494151374437301</v>
          </cell>
          <cell r="S3">
            <v>-16.743282246181501</v>
          </cell>
          <cell r="T3">
            <v>-16.9499444058374</v>
          </cell>
          <cell r="U3">
            <v>-17.147598150124299</v>
          </cell>
          <cell r="V3">
            <v>-17.315369435548298</v>
          </cell>
          <cell r="W3">
            <v>-17.4464982537128</v>
          </cell>
          <cell r="X3">
            <v>-17.548824344864201</v>
          </cell>
          <cell r="Y3">
            <v>-17.623632109119502</v>
          </cell>
        </row>
      </sheetData>
      <sheetData sheetId="1">
        <row r="25">
          <cell r="B25">
            <v>-0.50485797933552701</v>
          </cell>
          <cell r="C25">
            <v>-2.9962813061840499</v>
          </cell>
          <cell r="D25">
            <v>-1.37200145773602</v>
          </cell>
          <cell r="E25">
            <v>-0.19927377558406301</v>
          </cell>
          <cell r="F25">
            <v>-0.31536164301276798</v>
          </cell>
          <cell r="G25">
            <v>-0.29658140351219697</v>
          </cell>
          <cell r="H25">
            <v>-1.3951939456965601</v>
          </cell>
          <cell r="I25">
            <v>3.3642985715842698E-2</v>
          </cell>
          <cell r="J25">
            <v>-0.252229304363494</v>
          </cell>
          <cell r="K25">
            <v>-0.583829037883699</v>
          </cell>
        </row>
      </sheetData>
      <sheetData sheetId="2"/>
      <sheetData sheetId="3"/>
      <sheetData sheetId="4"/>
      <sheetData sheetId="5">
        <row r="25">
          <cell r="B25">
            <v>2.3302714238647302</v>
          </cell>
          <cell r="C25">
            <v>1.0814751262462801</v>
          </cell>
          <cell r="D25">
            <v>-4.2426016626958001</v>
          </cell>
          <cell r="E25">
            <v>-5.18834914003157</v>
          </cell>
          <cell r="F25">
            <v>-0.79311566993934801</v>
          </cell>
          <cell r="G25">
            <v>-0.117594395107834</v>
          </cell>
          <cell r="H25">
            <v>3.6088664170007099</v>
          </cell>
          <cell r="I25">
            <v>-1.554661234024</v>
          </cell>
          <cell r="J25">
            <v>0.52331202314155301</v>
          </cell>
          <cell r="K25">
            <v>-0.91098033860882399</v>
          </cell>
        </row>
      </sheetData>
      <sheetData sheetId="6">
        <row r="25">
          <cell r="B25">
            <v>-2.1759696041977801</v>
          </cell>
          <cell r="C25">
            <v>-14.459309369337699</v>
          </cell>
          <cell r="D25">
            <v>0.320067630695475</v>
          </cell>
          <cell r="E25">
            <v>3.57177403757498</v>
          </cell>
          <cell r="F25">
            <v>-0.35431814213813301</v>
          </cell>
          <cell r="G25">
            <v>-1.0095736405158799</v>
          </cell>
          <cell r="H25">
            <v>-8.3777692833319595</v>
          </cell>
          <cell r="I25">
            <v>0.425947481065303</v>
          </cell>
          <cell r="J25">
            <v>-1.16229765339311</v>
          </cell>
          <cell r="K25">
            <v>-1.1986707334636399</v>
          </cell>
        </row>
      </sheetData>
      <sheetData sheetId="7"/>
      <sheetData sheetId="8"/>
      <sheetData sheetId="9"/>
      <sheetData sheetId="10">
        <row r="25">
          <cell r="B25">
            <v>-6.8968312258760101</v>
          </cell>
          <cell r="C25">
            <v>-27.096278767495001</v>
          </cell>
          <cell r="D25">
            <v>-24.626060771222701</v>
          </cell>
          <cell r="E25">
            <v>-15.3529665833276</v>
          </cell>
          <cell r="F25">
            <v>-9.3339933672767206</v>
          </cell>
          <cell r="G25">
            <v>-13.4218657176324</v>
          </cell>
          <cell r="H25">
            <v>-14.8760499251953</v>
          </cell>
          <cell r="I25">
            <v>-7.8904900358499699</v>
          </cell>
          <cell r="J25">
            <v>-8.4425907830677396</v>
          </cell>
          <cell r="K25">
            <v>-10.8453000731212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-5.6389097072384597E-2</v>
          </cell>
          <cell r="C2">
            <v>-5.5743973272026598E-2</v>
          </cell>
          <cell r="D2">
            <v>-5.72193411014221E-2</v>
          </cell>
          <cell r="E2">
            <v>-5.7599172986955202E-2</v>
          </cell>
          <cell r="F2">
            <v>-5.7984398527744001E-2</v>
          </cell>
          <cell r="G2">
            <v>-5.8630361013078898E-2</v>
          </cell>
          <cell r="H2">
            <v>-5.9086766911620202E-2</v>
          </cell>
          <cell r="I2">
            <v>-5.9323622914941899E-2</v>
          </cell>
          <cell r="J2">
            <v>-5.9287781474970401E-2</v>
          </cell>
          <cell r="K2">
            <v>-5.9009705941381899E-2</v>
          </cell>
          <cell r="L2">
            <v>-5.8433201831742401E-2</v>
          </cell>
          <cell r="M2">
            <v>-5.7557612585945599E-2</v>
          </cell>
          <cell r="N2">
            <v>-5.6407624946808198E-2</v>
          </cell>
          <cell r="O2">
            <v>-5.49633846975595E-2</v>
          </cell>
          <cell r="P2">
            <v>-5.3164906438851703E-2</v>
          </cell>
          <cell r="Q2">
            <v>-5.1063920316818397E-2</v>
          </cell>
          <cell r="R2">
            <v>-4.8315383066743801E-2</v>
          </cell>
          <cell r="S2">
            <v>-4.5318490219148397E-2</v>
          </cell>
          <cell r="T2">
            <v>-4.1994503892417399E-2</v>
          </cell>
          <cell r="U2">
            <v>-3.83811282733015E-2</v>
          </cell>
          <cell r="V2">
            <v>-3.4849864181984998E-2</v>
          </cell>
          <cell r="W2">
            <v>-3.0160243901589098E-2</v>
          </cell>
          <cell r="X2">
            <v>-2.55752216592686E-2</v>
          </cell>
          <cell r="Y2">
            <v>-2.0387383300357598E-2</v>
          </cell>
        </row>
        <row r="3">
          <cell r="B3">
            <v>-0.30643252050451802</v>
          </cell>
          <cell r="C3">
            <v>-0.36499129661513602</v>
          </cell>
          <cell r="D3">
            <v>-0.41059507174745502</v>
          </cell>
          <cell r="E3">
            <v>-0.44330109086452302</v>
          </cell>
          <cell r="F3">
            <v>-0.46562601310269303</v>
          </cell>
          <cell r="G3">
            <v>-0.48049863053785102</v>
          </cell>
          <cell r="H3">
            <v>-0.48905912811487701</v>
          </cell>
          <cell r="I3">
            <v>-0.49257821213587499</v>
          </cell>
          <cell r="J3">
            <v>-0.49202907949682501</v>
          </cell>
          <cell r="K3">
            <v>-0.48825403000826201</v>
          </cell>
          <cell r="L3">
            <v>-0.481968416635425</v>
          </cell>
          <cell r="M3">
            <v>-0.47375167988658001</v>
          </cell>
          <cell r="N3">
            <v>-0.46413130655582602</v>
          </cell>
          <cell r="O3">
            <v>-0.45355155738446801</v>
          </cell>
          <cell r="P3">
            <v>-0.442130446520905</v>
          </cell>
          <cell r="Q3">
            <v>-0.430325798006292</v>
          </cell>
          <cell r="R3">
            <v>-0.41776436218817797</v>
          </cell>
          <cell r="S3">
            <v>-0.405118114697267</v>
          </cell>
          <cell r="T3">
            <v>-0.39249499308871</v>
          </cell>
          <cell r="U3">
            <v>-0.38119075147386999</v>
          </cell>
          <cell r="V3">
            <v>-0.37038399208997302</v>
          </cell>
          <cell r="W3">
            <v>-0.35924402392187899</v>
          </cell>
          <cell r="X3">
            <v>-0.34861924045020998</v>
          </cell>
          <cell r="Y3">
            <v>-0.33817075516928702</v>
          </cell>
        </row>
      </sheetData>
      <sheetData sheetId="1">
        <row r="25">
          <cell r="B25">
            <v>-5.5326219262408199E-3</v>
          </cell>
          <cell r="C25">
            <v>-0.22273155107770401</v>
          </cell>
          <cell r="D25">
            <v>0.234722762408901</v>
          </cell>
          <cell r="E25">
            <v>0.51150648020439304</v>
          </cell>
          <cell r="F25">
            <v>0.202760222382081</v>
          </cell>
          <cell r="G25">
            <v>4.3097829924265703E-2</v>
          </cell>
          <cell r="H25">
            <v>-0.238406596927909</v>
          </cell>
          <cell r="I25">
            <v>-1.4894745597077701</v>
          </cell>
          <cell r="J25">
            <v>0.23966004321509499</v>
          </cell>
          <cell r="K25">
            <v>7.1710390886758901E-2</v>
          </cell>
        </row>
      </sheetData>
      <sheetData sheetId="2"/>
      <sheetData sheetId="3"/>
      <sheetData sheetId="4"/>
      <sheetData sheetId="5">
        <row r="25">
          <cell r="B25">
            <v>0.45741845555229399</v>
          </cell>
          <cell r="C25">
            <v>-0.85243432089898696</v>
          </cell>
          <cell r="D25">
            <v>-0.238376643300553</v>
          </cell>
          <cell r="E25">
            <v>1.0552705043955799</v>
          </cell>
          <cell r="F25">
            <v>0.123972582383303</v>
          </cell>
          <cell r="G25">
            <v>-0.80472221642548003</v>
          </cell>
          <cell r="H25">
            <v>0.77844623195710805</v>
          </cell>
          <cell r="I25">
            <v>-10.306980685865</v>
          </cell>
          <cell r="J25">
            <v>-2.1592294497289801</v>
          </cell>
          <cell r="K25">
            <v>-0.33121656671185601</v>
          </cell>
        </row>
      </sheetData>
      <sheetData sheetId="6">
        <row r="25">
          <cell r="B25">
            <v>-0.245710300107327</v>
          </cell>
          <cell r="C25">
            <v>-2.9877828575045302</v>
          </cell>
          <cell r="D25">
            <v>1.8956760153468999</v>
          </cell>
          <cell r="E25">
            <v>4.16866087357237</v>
          </cell>
          <cell r="F25">
            <v>0.70161495875955504</v>
          </cell>
          <cell r="G25">
            <v>-0.37255001353332401</v>
          </cell>
          <cell r="H25">
            <v>-1.1628519316450801</v>
          </cell>
          <cell r="I25">
            <v>-18.192899855529099</v>
          </cell>
          <cell r="J25">
            <v>-1.0603762781510699</v>
          </cell>
          <cell r="K25">
            <v>0.14056725541391499</v>
          </cell>
        </row>
      </sheetData>
      <sheetData sheetId="7"/>
      <sheetData sheetId="8"/>
      <sheetData sheetId="9"/>
      <sheetData sheetId="10">
        <row r="25">
          <cell r="B25">
            <v>0.30646662518711798</v>
          </cell>
          <cell r="C25">
            <v>5.4068365736736901E-2</v>
          </cell>
          <cell r="D25">
            <v>0.49772770865197402</v>
          </cell>
          <cell r="E25">
            <v>0.818609816222859</v>
          </cell>
          <cell r="F25">
            <v>1.02291967607067</v>
          </cell>
          <cell r="G25">
            <v>0.61088519935557095</v>
          </cell>
          <cell r="H25">
            <v>0.25729455792873301</v>
          </cell>
          <cell r="I25">
            <v>-17.173225485448501</v>
          </cell>
          <cell r="J25">
            <v>0.90101848982564503</v>
          </cell>
          <cell r="K25">
            <v>0.69718486753123099</v>
          </cell>
        </row>
      </sheetData>
      <sheetData sheetId="11"/>
      <sheetData sheetId="12"/>
      <sheetData sheetId="13">
        <row r="2">
          <cell r="A2">
            <v>31.0742211043708</v>
          </cell>
          <cell r="B2">
            <v>32.368770618381397</v>
          </cell>
          <cell r="C2">
            <v>33.395442510679104</v>
          </cell>
          <cell r="D2">
            <v>34.723966607864597</v>
          </cell>
          <cell r="E2">
            <v>36.187836134977999</v>
          </cell>
          <cell r="F2">
            <v>37.620247147068099</v>
          </cell>
          <cell r="G2">
            <v>39.064405977751498</v>
          </cell>
          <cell r="H2">
            <v>40.5043587524492</v>
          </cell>
          <cell r="I2">
            <v>41.934817992680998</v>
          </cell>
          <cell r="J2">
            <v>43.3517152248385</v>
          </cell>
          <cell r="K2">
            <v>44.741446207350002</v>
          </cell>
          <cell r="L2">
            <v>46.102552291063901</v>
          </cell>
          <cell r="M2">
            <v>47.425560886339802</v>
          </cell>
          <cell r="N2">
            <v>48.704634737952397</v>
          </cell>
          <cell r="O2">
            <v>49.935629875288399</v>
          </cell>
          <cell r="P2">
            <v>51.102718204026303</v>
          </cell>
          <cell r="Q2">
            <v>52.274906290499899</v>
          </cell>
          <cell r="R2">
            <v>53.393765652594503</v>
          </cell>
          <cell r="S2">
            <v>54.460965531824897</v>
          </cell>
          <cell r="T2">
            <v>55.438885229203301</v>
          </cell>
          <cell r="U2">
            <v>56.337249505578697</v>
          </cell>
          <cell r="V2">
            <v>57.247941935735597</v>
          </cell>
          <cell r="W2">
            <v>58.084345082067799</v>
          </cell>
          <cell r="X2">
            <v>58.889972946267797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-9.6597649081509002E-2</v>
          </cell>
          <cell r="C2">
            <v>-0.106405343850224</v>
          </cell>
          <cell r="D2">
            <v>-0.11856155284042399</v>
          </cell>
          <cell r="E2">
            <v>-0.12947488984232899</v>
          </cell>
          <cell r="F2">
            <v>-0.14038303422040399</v>
          </cell>
          <cell r="G2">
            <v>-0.151359254752337</v>
          </cell>
          <cell r="H2">
            <v>-0.161881399092456</v>
          </cell>
          <cell r="I2">
            <v>-0.17187475572283401</v>
          </cell>
          <cell r="J2">
            <v>-0.18125671462051501</v>
          </cell>
          <cell r="K2">
            <v>-0.18998938101592</v>
          </cell>
          <cell r="L2">
            <v>-0.19804486650842901</v>
          </cell>
          <cell r="M2">
            <v>-0.20540747128084999</v>
          </cell>
          <cell r="N2">
            <v>-0.21209597692197801</v>
          </cell>
          <cell r="O2">
            <v>-0.21808483707200799</v>
          </cell>
          <cell r="P2">
            <v>-0.22333899905374599</v>
          </cell>
          <cell r="Q2">
            <v>-0.22790394395819599</v>
          </cell>
          <cell r="R2">
            <v>-0.23139150888043</v>
          </cell>
          <cell r="S2">
            <v>-0.234225133413346</v>
          </cell>
          <cell r="T2">
            <v>-0.23636778492905899</v>
          </cell>
          <cell r="U2">
            <v>-0.23795659836177699</v>
          </cell>
          <cell r="V2">
            <v>-0.23935199207788499</v>
          </cell>
          <cell r="W2">
            <v>-0.239321147568927</v>
          </cell>
          <cell r="X2">
            <v>-0.23916021809810001</v>
          </cell>
          <cell r="Y2">
            <v>-0.23820999890476999</v>
          </cell>
        </row>
        <row r="3">
          <cell r="B3">
            <v>-0.83704508944344402</v>
          </cell>
          <cell r="C3">
            <v>-1.1734349708265699</v>
          </cell>
          <cell r="D3">
            <v>-1.44282941132391</v>
          </cell>
          <cell r="E3">
            <v>-1.6530842312788301</v>
          </cell>
          <cell r="F3">
            <v>-1.8136728369271</v>
          </cell>
          <cell r="G3">
            <v>-1.93468477810095</v>
          </cell>
          <cell r="H3">
            <v>-2.0224337504538599</v>
          </cell>
          <cell r="I3">
            <v>-2.0825723388653401</v>
          </cell>
          <cell r="J3">
            <v>-2.1197530269957898</v>
          </cell>
          <cell r="K3">
            <v>-2.1377312213652799</v>
          </cell>
          <cell r="L3">
            <v>-2.1402091313513298</v>
          </cell>
          <cell r="M3">
            <v>-2.1301687362924602</v>
          </cell>
          <cell r="N3">
            <v>-2.11019887863181</v>
          </cell>
          <cell r="O3">
            <v>-2.0826459332773499</v>
          </cell>
          <cell r="P3">
            <v>-2.0490730742163299</v>
          </cell>
          <cell r="Q3">
            <v>-2.0104641041156102</v>
          </cell>
          <cell r="R3">
            <v>-1.9670518553335199</v>
          </cell>
          <cell r="S3">
            <v>-1.9207543673067899</v>
          </cell>
          <cell r="T3">
            <v>-1.8727006310260701</v>
          </cell>
          <cell r="U3">
            <v>-1.8294167653355</v>
          </cell>
          <cell r="V3">
            <v>-1.7863612769705199</v>
          </cell>
          <cell r="W3">
            <v>-1.74246947329901</v>
          </cell>
          <cell r="X3">
            <v>-1.6994448461087199</v>
          </cell>
          <cell r="Y3">
            <v>-1.65725753195669</v>
          </cell>
        </row>
      </sheetData>
      <sheetData sheetId="1">
        <row r="25">
          <cell r="B25">
            <v>-0.46556418969742103</v>
          </cell>
          <cell r="C25">
            <v>-0.63261051183810502</v>
          </cell>
          <cell r="D25">
            <v>0.21909831375559499</v>
          </cell>
          <cell r="E25">
            <v>0.479851428078715</v>
          </cell>
          <cell r="F25">
            <v>0.149251880662327</v>
          </cell>
          <cell r="G25">
            <v>-0.74644271976782595</v>
          </cell>
          <cell r="H25">
            <v>-0.45514858855287799</v>
          </cell>
          <cell r="I25">
            <v>-0.71151306712205997</v>
          </cell>
          <cell r="J25">
            <v>-1.0403973199918799</v>
          </cell>
          <cell r="K25">
            <v>4.8082118185965902E-2</v>
          </cell>
        </row>
      </sheetData>
      <sheetData sheetId="2"/>
      <sheetData sheetId="3"/>
      <sheetData sheetId="4"/>
      <sheetData sheetId="5">
        <row r="25">
          <cell r="B25">
            <v>0.28345104875302501</v>
          </cell>
          <cell r="C25">
            <v>-2.8496562723666501</v>
          </cell>
          <cell r="D25">
            <v>-4.3679343752942801</v>
          </cell>
          <cell r="E25">
            <v>-0.74390789687404102</v>
          </cell>
          <cell r="F25">
            <v>-10.4134026974936</v>
          </cell>
          <cell r="G25">
            <v>-6.3033220288575098</v>
          </cell>
          <cell r="H25">
            <v>-0.72205477042199795</v>
          </cell>
          <cell r="I25">
            <v>-5.6603661723198204</v>
          </cell>
          <cell r="J25">
            <v>-5.93769440111872</v>
          </cell>
          <cell r="K25">
            <v>-3.64322593649627</v>
          </cell>
        </row>
      </sheetData>
      <sheetData sheetId="6">
        <row r="25">
          <cell r="B25">
            <v>-2.04069400067088</v>
          </cell>
          <cell r="C25">
            <v>-6.7812799178427303</v>
          </cell>
          <cell r="D25">
            <v>-0.72009056249262604</v>
          </cell>
          <cell r="E25">
            <v>3.7903299912666699</v>
          </cell>
          <cell r="F25">
            <v>-8.2573132500449198</v>
          </cell>
          <cell r="G25">
            <v>-9.0594966271198203</v>
          </cell>
          <cell r="H25">
            <v>-3.2119706505854699</v>
          </cell>
          <cell r="I25">
            <v>-7.9673129014951902</v>
          </cell>
          <cell r="J25">
            <v>-9.5063032040205808</v>
          </cell>
          <cell r="K25">
            <v>-1.8398930912457701</v>
          </cell>
        </row>
      </sheetData>
      <sheetData sheetId="7"/>
      <sheetData sheetId="8"/>
      <sheetData sheetId="9"/>
      <sheetData sheetId="10">
        <row r="25">
          <cell r="B25">
            <v>-8.5026584769577003</v>
          </cell>
          <cell r="C25">
            <v>7.2936857006022898E-2</v>
          </cell>
          <cell r="D25">
            <v>1.76085757881586</v>
          </cell>
          <cell r="E25">
            <v>3.7014792370565899</v>
          </cell>
          <cell r="F25">
            <v>0.76705958646932104</v>
          </cell>
          <cell r="G25">
            <v>-16.946139696621699</v>
          </cell>
          <cell r="H25">
            <v>1.36176773532746</v>
          </cell>
          <cell r="I25">
            <v>-14.1732005688022</v>
          </cell>
          <cell r="J25">
            <v>-15.787635486588499</v>
          </cell>
          <cell r="K25">
            <v>2.49298640004656</v>
          </cell>
        </row>
      </sheetData>
      <sheetData sheetId="11"/>
      <sheetData sheetId="12"/>
      <sheetData sheetId="13">
        <row r="2">
          <cell r="A2">
            <v>9.8815920723486101</v>
          </cell>
          <cell r="B2">
            <v>15.2180136304219</v>
          </cell>
          <cell r="C2">
            <v>18.171812047742499</v>
          </cell>
          <cell r="D2">
            <v>20.450337580092601</v>
          </cell>
          <cell r="E2">
            <v>22.459505862067498</v>
          </cell>
          <cell r="F2">
            <v>24.303812238098502</v>
          </cell>
          <cell r="G2">
            <v>26.0661973523051</v>
          </cell>
          <cell r="H2">
            <v>27.7783392950255</v>
          </cell>
          <cell r="I2">
            <v>29.457193390894499</v>
          </cell>
          <cell r="J2">
            <v>31.1100737005507</v>
          </cell>
          <cell r="K2">
            <v>32.734736827735397</v>
          </cell>
          <cell r="L2">
            <v>34.331612532989602</v>
          </cell>
          <cell r="M2">
            <v>35.893307800947198</v>
          </cell>
          <cell r="N2">
            <v>37.413700176224602</v>
          </cell>
          <cell r="O2">
            <v>38.888936286139398</v>
          </cell>
          <cell r="P2">
            <v>40.318243423796197</v>
          </cell>
          <cell r="Q2">
            <v>41.728094810910598</v>
          </cell>
          <cell r="R2">
            <v>43.092097948989597</v>
          </cell>
          <cell r="S2">
            <v>44.4065234815181</v>
          </cell>
          <cell r="T2">
            <v>45.598851933693602</v>
          </cell>
          <cell r="U2">
            <v>46.722456663233203</v>
          </cell>
          <cell r="V2">
            <v>47.814770511354702</v>
          </cell>
          <cell r="W2">
            <v>48.843741040215399</v>
          </cell>
          <cell r="X2">
            <v>49.819825219896401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-8.7746546231504102E-2</v>
          </cell>
          <cell r="C2">
            <v>-0.103564059329631</v>
          </cell>
          <cell r="D2">
            <v>-0.12549261885750301</v>
          </cell>
          <cell r="E2">
            <v>-0.149319474493259</v>
          </cell>
          <cell r="F2">
            <v>-0.17601662987200001</v>
          </cell>
          <cell r="G2">
            <v>-0.20547762288382099</v>
          </cell>
          <cell r="H2">
            <v>-0.23701547356833599</v>
          </cell>
          <cell r="I2">
            <v>-0.27039063285938503</v>
          </cell>
          <cell r="J2">
            <v>-0.30534784742649601</v>
          </cell>
          <cell r="K2">
            <v>-0.34172016176335901</v>
          </cell>
          <cell r="L2">
            <v>-0.37926238940456702</v>
          </cell>
          <cell r="M2">
            <v>-0.41775700246969899</v>
          </cell>
          <cell r="N2">
            <v>-0.45703910513673601</v>
          </cell>
          <cell r="O2">
            <v>-0.49685530851997201</v>
          </cell>
          <cell r="P2">
            <v>-0.53706093214567197</v>
          </cell>
          <cell r="Q2">
            <v>-0.577508084712686</v>
          </cell>
          <cell r="R2">
            <v>-0.61733674058953603</v>
          </cell>
          <cell r="S2">
            <v>-0.65680787068199697</v>
          </cell>
          <cell r="T2">
            <v>-0.69565784927810803</v>
          </cell>
          <cell r="U2">
            <v>-0.73358127616879298</v>
          </cell>
          <cell r="V2">
            <v>-0.77097193661921404</v>
          </cell>
          <cell r="W2">
            <v>-0.80609814655516798</v>
          </cell>
          <cell r="X2">
            <v>-0.840089955444701</v>
          </cell>
          <cell r="Y2">
            <v>-0.87201671992834795</v>
          </cell>
        </row>
        <row r="3">
          <cell r="B3">
            <v>-2.2177348095321001</v>
          </cell>
          <cell r="C3">
            <v>-3.70422537521284</v>
          </cell>
          <cell r="D3">
            <v>-5.02723755706588</v>
          </cell>
          <cell r="E3">
            <v>-6.1966366419270198</v>
          </cell>
          <cell r="F3">
            <v>-7.2236426840876602</v>
          </cell>
          <cell r="G3">
            <v>-8.1324790887053098</v>
          </cell>
          <cell r="H3">
            <v>-8.9375985277631607</v>
          </cell>
          <cell r="I3">
            <v>-9.6515442983414896</v>
          </cell>
          <cell r="J3">
            <v>-10.284481941961699</v>
          </cell>
          <cell r="K3">
            <v>-10.846428989798699</v>
          </cell>
          <cell r="L3">
            <v>-11.3439518451568</v>
          </cell>
          <cell r="M3">
            <v>-11.7828211716797</v>
          </cell>
          <cell r="N3">
            <v>-12.168716268889</v>
          </cell>
          <cell r="O3">
            <v>-12.5064970603364</v>
          </cell>
          <cell r="P3">
            <v>-12.8023882411123</v>
          </cell>
          <cell r="Q3">
            <v>-13.0538285638982</v>
          </cell>
          <cell r="R3">
            <v>-13.261653456054299</v>
          </cell>
          <cell r="S3">
            <v>-13.4298022329228</v>
          </cell>
          <cell r="T3">
            <v>-13.5624757241984</v>
          </cell>
          <cell r="U3">
            <v>-13.690939553325</v>
          </cell>
          <cell r="V3">
            <v>-13.7937018225335</v>
          </cell>
          <cell r="W3">
            <v>-13.8656252465299</v>
          </cell>
          <cell r="X3">
            <v>-13.9137521640339</v>
          </cell>
          <cell r="Y3">
            <v>-13.9389777575193</v>
          </cell>
        </row>
      </sheetData>
      <sheetData sheetId="1">
        <row r="25">
          <cell r="B25">
            <v>-0.42651696232774999</v>
          </cell>
          <cell r="C25">
            <v>-1.44570269813625</v>
          </cell>
          <cell r="D25">
            <v>-1.7277755822929799</v>
          </cell>
          <cell r="E25">
            <v>-0.83915169667808698</v>
          </cell>
          <cell r="F25">
            <v>-0.46278492245013197</v>
          </cell>
          <cell r="G25">
            <v>-0.39724220636415702</v>
          </cell>
          <cell r="H25">
            <v>-1.1996152124792501</v>
          </cell>
          <cell r="I25">
            <v>-0.27414246246465501</v>
          </cell>
          <cell r="J25">
            <v>-0.50419140452326905</v>
          </cell>
          <cell r="K25">
            <v>-0.48234797697771498</v>
          </cell>
        </row>
      </sheetData>
      <sheetData sheetId="2"/>
      <sheetData sheetId="3"/>
      <sheetData sheetId="4"/>
      <sheetData sheetId="5">
        <row r="25">
          <cell r="B25">
            <v>1.62288170295664</v>
          </cell>
          <cell r="C25">
            <v>-4.8916181267783001</v>
          </cell>
          <cell r="D25">
            <v>-8.1964823383006493</v>
          </cell>
          <cell r="E25">
            <v>-8.0903430021818696</v>
          </cell>
          <cell r="F25">
            <v>-0.73281929985637995</v>
          </cell>
          <cell r="G25">
            <v>-1.5592146522073</v>
          </cell>
          <cell r="H25">
            <v>-3.5605922673493802</v>
          </cell>
          <cell r="I25">
            <v>-3.0904714949353602</v>
          </cell>
          <cell r="J25">
            <v>-1.18245154632645</v>
          </cell>
          <cell r="K25">
            <v>-13.144779524906101</v>
          </cell>
        </row>
      </sheetData>
      <sheetData sheetId="6">
        <row r="25">
          <cell r="B25">
            <v>-2.02559640441461</v>
          </cell>
          <cell r="C25">
            <v>-15.1407199949805</v>
          </cell>
          <cell r="D25">
            <v>-6.0736187625604403</v>
          </cell>
          <cell r="E25">
            <v>-2.5359471204211901</v>
          </cell>
          <cell r="F25">
            <v>-0.80007116827802705</v>
          </cell>
          <cell r="G25">
            <v>-2.8373541774907101</v>
          </cell>
          <cell r="H25">
            <v>-10.7465552550679</v>
          </cell>
          <cell r="I25">
            <v>-3.0507994401334702</v>
          </cell>
          <cell r="J25">
            <v>-3.5624016939311298</v>
          </cell>
          <cell r="K25">
            <v>-10.775094587977801</v>
          </cell>
        </row>
      </sheetData>
      <sheetData sheetId="7"/>
      <sheetData sheetId="8"/>
      <sheetData sheetId="9"/>
      <sheetData sheetId="10">
        <row r="25">
          <cell r="B25">
            <v>-7.5206534109691701</v>
          </cell>
          <cell r="C25">
            <v>3.1810584468618499</v>
          </cell>
          <cell r="D25">
            <v>-26.1402097613534</v>
          </cell>
          <cell r="E25">
            <v>-18.493445057672599</v>
          </cell>
          <cell r="F25">
            <v>-11.704545563103199</v>
          </cell>
          <cell r="G25">
            <v>-14.887370687960599</v>
          </cell>
          <cell r="H25">
            <v>3.6411711580857098</v>
          </cell>
          <cell r="I25">
            <v>-11.502340443829601</v>
          </cell>
          <cell r="J25">
            <v>-11.717568914433301</v>
          </cell>
          <cell r="K25">
            <v>8.8423126061374209</v>
          </cell>
        </row>
      </sheetData>
      <sheetData sheetId="11"/>
      <sheetData sheetId="12"/>
      <sheetData sheetId="13">
        <row r="2">
          <cell r="A2">
            <v>3.8499402021270699</v>
          </cell>
          <cell r="B2">
            <v>5.2948267045641204</v>
          </cell>
          <cell r="C2">
            <v>5.8418594485792701</v>
          </cell>
          <cell r="D2">
            <v>6.1894568827633396</v>
          </cell>
          <cell r="E2">
            <v>6.46880062239849</v>
          </cell>
          <cell r="F2">
            <v>6.7112356737416299</v>
          </cell>
          <cell r="G2">
            <v>6.9383467193297399</v>
          </cell>
          <cell r="H2">
            <v>7.1587674695242898</v>
          </cell>
          <cell r="I2">
            <v>7.3767182307374197</v>
          </cell>
          <cell r="J2">
            <v>7.5911783083526503</v>
          </cell>
          <cell r="K2">
            <v>7.8049027722486199</v>
          </cell>
          <cell r="L2">
            <v>8.0188416205004494</v>
          </cell>
          <cell r="M2">
            <v>8.2327761352713598</v>
          </cell>
          <cell r="N2">
            <v>8.4464265864626498</v>
          </cell>
          <cell r="O2">
            <v>8.6561629219084892</v>
          </cell>
          <cell r="P2">
            <v>8.8706464070109892</v>
          </cell>
          <cell r="Q2">
            <v>9.0881392671246903</v>
          </cell>
          <cell r="R2">
            <v>9.3072179055358308</v>
          </cell>
          <cell r="S2">
            <v>9.5266093695626708</v>
          </cell>
          <cell r="T2">
            <v>9.7208800968598599</v>
          </cell>
          <cell r="U2">
            <v>9.9127109978122192</v>
          </cell>
          <cell r="V2">
            <v>10.106996548861099</v>
          </cell>
          <cell r="W2">
            <v>10.297430278013801</v>
          </cell>
          <cell r="X2">
            <v>10.4850372853147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>
        <row r="25">
          <cell r="B25">
            <v>-0.39872895304775602</v>
          </cell>
          <cell r="C25">
            <v>-1.1528502636252</v>
          </cell>
          <cell r="D25">
            <v>-1.85938935431548</v>
          </cell>
          <cell r="E25">
            <v>0.61135966511480799</v>
          </cell>
          <cell r="F25">
            <v>-0.52983929449253997</v>
          </cell>
          <cell r="G25">
            <v>-0.42284914792122302</v>
          </cell>
          <cell r="H25">
            <v>-0.91960845089448195</v>
          </cell>
          <cell r="I25">
            <v>-0.36865859574007898</v>
          </cell>
          <cell r="J25">
            <v>-0.58745845590882895</v>
          </cell>
          <cell r="K25">
            <v>-0.40578475389420099</v>
          </cell>
        </row>
      </sheetData>
      <sheetData sheetId="2"/>
      <sheetData sheetId="3"/>
      <sheetData sheetId="4"/>
      <sheetData sheetId="5"/>
      <sheetData sheetId="6">
        <row r="25">
          <cell r="B25">
            <v>-1.96108132689199</v>
          </cell>
          <cell r="C25">
            <v>-12.463310105825901</v>
          </cell>
          <cell r="D25">
            <v>-8.0868114046801995</v>
          </cell>
          <cell r="E25">
            <v>4.8863658830572003</v>
          </cell>
          <cell r="F25">
            <v>-1.29051334827102</v>
          </cell>
          <cell r="G25">
            <v>-3.75334884292735</v>
          </cell>
          <cell r="H25">
            <v>-7.1887015931092302</v>
          </cell>
          <cell r="I25">
            <v>-4.1633779639727599</v>
          </cell>
          <cell r="J25">
            <v>-4.6762147274194996</v>
          </cell>
          <cell r="K25">
            <v>-9.5109730266250203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-0.44693530319632702</v>
          </cell>
          <cell r="C25">
            <v>-4.9566994676574003</v>
          </cell>
          <cell r="D25">
            <v>2.1114904317328</v>
          </cell>
          <cell r="E25">
            <v>4.5033896801111704</v>
          </cell>
          <cell r="F25">
            <v>0.65992700539090299</v>
          </cell>
          <cell r="G25">
            <v>-0.11278046083667</v>
          </cell>
          <cell r="H25">
            <v>-2.1528202155875702</v>
          </cell>
          <cell r="I25">
            <v>-1.9325144459929799</v>
          </cell>
          <cell r="J25">
            <v>-2.6162523015681902</v>
          </cell>
          <cell r="K25">
            <v>0.42860821907444402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  <sheetName val="club3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-2.0981495199482301</v>
          </cell>
          <cell r="C25">
            <v>-4.9981786539503901</v>
          </cell>
          <cell r="D25">
            <v>2.1041909912447498</v>
          </cell>
          <cell r="E25">
            <v>4.5481886838185899</v>
          </cell>
          <cell r="F25">
            <v>0.67193532082396901</v>
          </cell>
          <cell r="G25">
            <v>-0.30430343410306998</v>
          </cell>
          <cell r="H25">
            <v>-2.1824784038330298</v>
          </cell>
          <cell r="I25">
            <v>-1.88270479549145</v>
          </cell>
          <cell r="J25">
            <v>-2.5870711771522799</v>
          </cell>
          <cell r="K25">
            <v>0.451616357002038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-1.74520813714353</v>
          </cell>
          <cell r="C25">
            <v>-6.4201392376459498</v>
          </cell>
          <cell r="D25">
            <v>2.0716229701747402</v>
          </cell>
          <cell r="E25">
            <v>5.1070056497545302</v>
          </cell>
          <cell r="F25">
            <v>-1.7608573445964</v>
          </cell>
          <cell r="G25">
            <v>-1.1315705953431801</v>
          </cell>
          <cell r="H25">
            <v>-2.88586203627648</v>
          </cell>
          <cell r="I25">
            <v>-1.43167247773063</v>
          </cell>
          <cell r="J25">
            <v>-2.3539306385259402</v>
          </cell>
          <cell r="K25">
            <v>0.58111169155541398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-1.9031199960399601</v>
          </cell>
          <cell r="C25">
            <v>-10.6457268241357</v>
          </cell>
          <cell r="D25">
            <v>-1.6574492694558101</v>
          </cell>
          <cell r="E25">
            <v>7.2978360034070802</v>
          </cell>
          <cell r="F25">
            <v>-1.26021490941827</v>
          </cell>
          <cell r="G25">
            <v>-1.04516989848633</v>
          </cell>
          <cell r="H25">
            <v>-5.7449418200234899</v>
          </cell>
          <cell r="I25">
            <v>-0.803434786096346</v>
          </cell>
          <cell r="J25">
            <v>-1.8409762013919799</v>
          </cell>
          <cell r="K25">
            <v>-0.51354428635582705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-0.45665736526138101</v>
          </cell>
          <cell r="C25">
            <v>-5.69792549041098</v>
          </cell>
          <cell r="D25">
            <v>0.68989750793808602</v>
          </cell>
          <cell r="E25">
            <v>4.0919465507161403</v>
          </cell>
          <cell r="F25">
            <v>1.1018577079702701</v>
          </cell>
          <cell r="G25">
            <v>-1.39804402436431</v>
          </cell>
          <cell r="H25">
            <v>-2.5104841164282599</v>
          </cell>
          <cell r="I25">
            <v>-11.538270775892199</v>
          </cell>
          <cell r="J25">
            <v>-12.2459337981698</v>
          </cell>
          <cell r="K25">
            <v>-0.79547158538719698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-13.536541832909499</v>
          </cell>
          <cell r="C25">
            <v>-5.7706804962916998</v>
          </cell>
          <cell r="D25">
            <v>0.63580697055336499</v>
          </cell>
          <cell r="E25">
            <v>4.1594877760623401</v>
          </cell>
          <cell r="F25">
            <v>1.35874804310119</v>
          </cell>
          <cell r="G25">
            <v>-2.48481282665258</v>
          </cell>
          <cell r="H25">
            <v>-2.52597567863894</v>
          </cell>
          <cell r="I25">
            <v>-11.1768594708895</v>
          </cell>
          <cell r="J25">
            <v>-11.903496802935599</v>
          </cell>
          <cell r="K25">
            <v>-0.783908492548679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-2.4252181583139598</v>
          </cell>
          <cell r="C25">
            <v>-7.0044860321623297</v>
          </cell>
          <cell r="D25">
            <v>-1.1123381114742299</v>
          </cell>
          <cell r="E25">
            <v>3.6359515198143999</v>
          </cell>
          <cell r="F25">
            <v>-1.6278052047838301</v>
          </cell>
          <cell r="G25">
            <v>-7.2233364259925201</v>
          </cell>
          <cell r="H25">
            <v>-3.3249121308288898</v>
          </cell>
          <cell r="I25">
            <v>-7.86828047109113</v>
          </cell>
          <cell r="J25">
            <v>-9.5088399551669394</v>
          </cell>
          <cell r="K25">
            <v>-2.1226782528702102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7" sqref="A17"/>
    </sheetView>
  </sheetViews>
  <sheetFormatPr baseColWidth="10" defaultColWidth="9" defaultRowHeight="15"/>
  <cols>
    <col min="1" max="1" width="30.1640625" customWidth="1"/>
    <col min="2" max="2" width="45.6640625" customWidth="1"/>
  </cols>
  <sheetData>
    <row r="1" spans="1:2">
      <c r="A1" s="56" t="s">
        <v>0</v>
      </c>
      <c r="B1" s="57" t="s">
        <v>1</v>
      </c>
    </row>
    <row r="2" spans="1:2">
      <c r="A2" s="56"/>
      <c r="B2" s="57"/>
    </row>
    <row r="3" spans="1:2">
      <c r="A3" s="47" t="s">
        <v>2</v>
      </c>
      <c r="B3" s="47" t="s">
        <v>3</v>
      </c>
    </row>
    <row r="4" spans="1:2" ht="45">
      <c r="A4" s="23" t="s">
        <v>4</v>
      </c>
      <c r="B4" s="47" t="s">
        <v>5</v>
      </c>
    </row>
    <row r="5" spans="1:2">
      <c r="A5" s="54" t="s">
        <v>6</v>
      </c>
      <c r="B5" s="54"/>
    </row>
    <row r="6" spans="1:2" ht="30">
      <c r="A6" s="23" t="s">
        <v>7</v>
      </c>
      <c r="B6" s="47" t="s">
        <v>8</v>
      </c>
    </row>
    <row r="7" spans="1:2">
      <c r="A7" s="23" t="s">
        <v>9</v>
      </c>
      <c r="B7" s="47" t="s">
        <v>10</v>
      </c>
    </row>
    <row r="8" spans="1:2">
      <c r="A8" s="23" t="s">
        <v>11</v>
      </c>
      <c r="B8" s="47" t="s">
        <v>12</v>
      </c>
    </row>
    <row r="9" spans="1:2">
      <c r="A9" s="55" t="s">
        <v>13</v>
      </c>
      <c r="B9" s="55"/>
    </row>
    <row r="10" spans="1:2" ht="30">
      <c r="A10" s="48" t="s">
        <v>14</v>
      </c>
      <c r="B10" s="47" t="s">
        <v>15</v>
      </c>
    </row>
    <row r="11" spans="1:2" ht="30">
      <c r="A11" s="23" t="s">
        <v>16</v>
      </c>
      <c r="B11" s="47" t="s">
        <v>17</v>
      </c>
    </row>
    <row r="12" spans="1:2" ht="30">
      <c r="A12" s="23" t="s">
        <v>18</v>
      </c>
      <c r="B12" s="47" t="s">
        <v>19</v>
      </c>
    </row>
  </sheetData>
  <mergeCells count="4">
    <mergeCell ref="A5:B5"/>
    <mergeCell ref="A9:B9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125" zoomScaleNormal="85"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 s="1" customFormat="1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2" t="s">
        <v>122</v>
      </c>
      <c r="B2" s="21">
        <f>[1]World!B2</f>
        <v>-1.44522440437278E-3</v>
      </c>
      <c r="C2" s="21">
        <f>[1]World!C2</f>
        <v>2.5737380198176402E-4</v>
      </c>
      <c r="D2" s="21">
        <f>[1]World!D2</f>
        <v>-4.4216626261528398E-4</v>
      </c>
      <c r="E2" s="21">
        <f>[1]World!E2</f>
        <v>3.6837841932424501E-5</v>
      </c>
      <c r="F2" s="21">
        <f>[1]World!F2</f>
        <v>2.5479627552282797E-4</v>
      </c>
      <c r="G2" s="21">
        <f>[1]World!G2</f>
        <v>5.4621502587615098E-5</v>
      </c>
      <c r="H2" s="21">
        <f>[1]World!H2</f>
        <v>-9.6074698929804497E-5</v>
      </c>
      <c r="I2" s="21">
        <f>[1]World!I2</f>
        <v>-1.49812109340175E-4</v>
      </c>
      <c r="J2" s="21">
        <f>[1]World!J2</f>
        <v>-4.2706060554564802E-5</v>
      </c>
      <c r="K2" s="21">
        <f>[1]World!K2</f>
        <v>2.3012765573149401E-4</v>
      </c>
      <c r="L2" s="21">
        <f>[1]World!L2</f>
        <v>7.2353198723451595E-4</v>
      </c>
      <c r="M2" s="21">
        <f>[1]World!M2</f>
        <v>1.4562742122192799E-3</v>
      </c>
      <c r="N2" s="21">
        <f>[1]World!N2</f>
        <v>2.4157144752567899E-3</v>
      </c>
      <c r="O2" s="21">
        <f>[1]World!O2</f>
        <v>3.6437740270178799E-3</v>
      </c>
      <c r="P2" s="21">
        <f>[1]World!P2</f>
        <v>5.1531898167089798E-3</v>
      </c>
      <c r="Q2" s="21">
        <f>[1]World!Q2</f>
        <v>6.91520208797591E-3</v>
      </c>
      <c r="R2" s="21">
        <f>[1]World!R2</f>
        <v>9.3230843596359102E-3</v>
      </c>
      <c r="S2" s="21">
        <f>[1]World!S2</f>
        <v>1.19660142235523E-2</v>
      </c>
      <c r="T2" s="21">
        <f>[1]World!T2</f>
        <v>1.49178485956858E-2</v>
      </c>
      <c r="U2" s="21">
        <f>[1]World!U2</f>
        <v>1.8406402355153301E-2</v>
      </c>
      <c r="V2" s="21">
        <f>[1]World!V2</f>
        <v>2.1863417026746199E-2</v>
      </c>
      <c r="W2" s="21">
        <f>[1]World!W2</f>
        <v>2.6466788933388101E-2</v>
      </c>
      <c r="X2" s="21">
        <f>[1]World!X2</f>
        <v>3.1005962802210799E-2</v>
      </c>
      <c r="Y2" s="21">
        <f>[1]World!Y2</f>
        <v>3.61775073373094E-2</v>
      </c>
    </row>
    <row r="3" spans="1:25">
      <c r="A3" s="52" t="s">
        <v>123</v>
      </c>
      <c r="B3" s="21">
        <f>[2]World!B2</f>
        <v>-3.44870210379211E-3</v>
      </c>
      <c r="C3" s="21">
        <f>[2]World!C2</f>
        <v>-4.5535572315569296E-3</v>
      </c>
      <c r="D3" s="21">
        <f>[2]World!D2</f>
        <v>-8.6680068660749399E-3</v>
      </c>
      <c r="E3" s="21">
        <f>[2]World!E2</f>
        <v>-1.20379456303832E-2</v>
      </c>
      <c r="F3" s="21">
        <f>[2]World!F2</f>
        <v>-1.5889172708427601E-2</v>
      </c>
      <c r="G3" s="21">
        <f>[2]World!G2</f>
        <v>-2.0332526571731301E-2</v>
      </c>
      <c r="H3" s="21">
        <f>[2]World!H2</f>
        <v>-2.4826176852632598E-2</v>
      </c>
      <c r="I3" s="21">
        <f>[2]World!I2</f>
        <v>-2.9270769620059998E-2</v>
      </c>
      <c r="J3" s="21">
        <f>[2]World!J2</f>
        <v>-3.3554606089392099E-2</v>
      </c>
      <c r="K3" s="21">
        <f>[2]World!K2</f>
        <v>-3.7625967970311702E-2</v>
      </c>
      <c r="L3" s="21">
        <f>[2]World!L2</f>
        <v>-4.1414584085519603E-2</v>
      </c>
      <c r="M3" s="21">
        <f>[2]World!M2</f>
        <v>-4.4870543909059098E-2</v>
      </c>
      <c r="N3" s="21">
        <f>[2]World!N2</f>
        <v>-4.7998368890789199E-2</v>
      </c>
      <c r="O3" s="21">
        <f>[2]World!O2</f>
        <v>-5.0743410989240199E-2</v>
      </c>
      <c r="P3" s="21">
        <f>[2]World!P2</f>
        <v>-5.30842412913013E-2</v>
      </c>
      <c r="Q3" s="21">
        <f>[2]World!Q2</f>
        <v>-5.50763320354863E-2</v>
      </c>
      <c r="R3" s="21">
        <f>[2]World!R2</f>
        <v>-5.6235492316647498E-2</v>
      </c>
      <c r="S3" s="21">
        <f>[2]World!S2</f>
        <v>-5.70141757843423E-2</v>
      </c>
      <c r="T3" s="21">
        <f>[2]World!T2</f>
        <v>-5.7355847706663798E-2</v>
      </c>
      <c r="U3" s="21">
        <f>[2]World!U2</f>
        <v>-5.7144198338599003E-2</v>
      </c>
      <c r="V3" s="21">
        <f>[2]World!V2</f>
        <v>-5.69413040171107E-2</v>
      </c>
      <c r="W3" s="21">
        <f>[2]World!W2</f>
        <v>-5.5474206700756298E-2</v>
      </c>
      <c r="X3" s="21">
        <f>[2]World!X2</f>
        <v>-5.4026171513721397E-2</v>
      </c>
      <c r="Y3" s="21">
        <f>[2]World!Y2</f>
        <v>-5.1924351505527898E-2</v>
      </c>
    </row>
    <row r="4" spans="1:25">
      <c r="A4" s="52" t="s">
        <v>124</v>
      </c>
      <c r="B4" s="21">
        <f>[3]World!B2</f>
        <v>-6.9091228896645002E-3</v>
      </c>
      <c r="C4" s="21">
        <f>[3]World!C2</f>
        <v>-1.47661269565336E-2</v>
      </c>
      <c r="D4" s="21">
        <f>[3]World!D2</f>
        <v>-2.8668758284256E-2</v>
      </c>
      <c r="E4" s="21">
        <f>[3]World!E2</f>
        <v>-4.4557896703756303E-2</v>
      </c>
      <c r="F4" s="21">
        <f>[3]World!F2</f>
        <v>-6.3333656173658603E-2</v>
      </c>
      <c r="G4" s="21">
        <f>[3]World!G2</f>
        <v>-8.4968745795666004E-2</v>
      </c>
      <c r="H4" s="21">
        <f>[3]World!H2</f>
        <v>-0.108771723677625</v>
      </c>
      <c r="I4" s="21">
        <f>[3]World!I2</f>
        <v>-0.13450735277957801</v>
      </c>
      <c r="J4" s="21">
        <f>[3]World!J2</f>
        <v>-0.16192576762733599</v>
      </c>
      <c r="K4" s="21">
        <f>[3]World!K2</f>
        <v>-0.19086550844886799</v>
      </c>
      <c r="L4" s="21">
        <f>[3]World!L2</f>
        <v>-0.22109034708195399</v>
      </c>
      <c r="M4" s="21">
        <f>[3]World!M2</f>
        <v>-0.25238341416240501</v>
      </c>
      <c r="N4" s="21">
        <f>[3]World!N2</f>
        <v>-0.28458695200612699</v>
      </c>
      <c r="O4" s="21">
        <f>[3]World!O2</f>
        <v>-0.31745322713576701</v>
      </c>
      <c r="P4" s="21">
        <f>[3]World!P2</f>
        <v>-0.35083816744562202</v>
      </c>
      <c r="Q4" s="21">
        <f>[3]World!Q2</f>
        <v>-0.38460216238733702</v>
      </c>
      <c r="R4" s="21">
        <f>[3]World!R2</f>
        <v>-0.41787365571482898</v>
      </c>
      <c r="S4" s="21">
        <f>[3]World!S2</f>
        <v>-0.45093218777535499</v>
      </c>
      <c r="T4" s="21">
        <f>[3]World!T2</f>
        <v>-0.48351712168513999</v>
      </c>
      <c r="U4" s="21">
        <f>[3]World!U2</f>
        <v>-0.51535157246464003</v>
      </c>
      <c r="V4" s="21">
        <f>[3]World!V2</f>
        <v>-0.54682136088645095</v>
      </c>
      <c r="W4" s="21">
        <f>[3]World!W2</f>
        <v>-0.57618458736081701</v>
      </c>
      <c r="X4" s="21">
        <f>[3]World!X2</f>
        <v>-0.604587494278785</v>
      </c>
      <c r="Y4" s="21">
        <f>[3]World!Y2</f>
        <v>-0.63109799335726602</v>
      </c>
    </row>
    <row r="5" spans="1:25">
      <c r="A5" s="52" t="s">
        <v>125</v>
      </c>
      <c r="B5" s="21">
        <f>[4]World!B2</f>
        <v>-5.98593392991953E-3</v>
      </c>
      <c r="C5" s="21">
        <f>[4]World!C2</f>
        <v>-1.36838111840176E-2</v>
      </c>
      <c r="D5" s="21">
        <f>[4]World!D2</f>
        <v>-2.81397748535861E-2</v>
      </c>
      <c r="E5" s="21">
        <f>[4]World!E2</f>
        <v>-4.5160759704032702E-2</v>
      </c>
      <c r="F5" s="21">
        <f>[4]World!F2</f>
        <v>-6.5526848447350294E-2</v>
      </c>
      <c r="G5" s="21">
        <f>[4]World!G2</f>
        <v>-8.9137645159131904E-2</v>
      </c>
      <c r="H5" s="21">
        <f>[4]World!H2</f>
        <v>-0.115231241236735</v>
      </c>
      <c r="I5" s="21">
        <f>[4]World!I2</f>
        <v>-0.14351344876150099</v>
      </c>
      <c r="J5" s="21">
        <f>[4]World!J2</f>
        <v>-0.17368317277098899</v>
      </c>
      <c r="K5" s="21">
        <f>[4]World!K2</f>
        <v>-0.20553819740454199</v>
      </c>
      <c r="L5" s="21">
        <f>[4]World!L2</f>
        <v>-0.23879817052371299</v>
      </c>
      <c r="M5" s="21">
        <f>[4]World!M2</f>
        <v>-0.27321383223560802</v>
      </c>
      <c r="N5" s="21">
        <f>[4]World!N2</f>
        <v>-0.30860308622413501</v>
      </c>
      <c r="O5" s="21">
        <f>[4]World!O2</f>
        <v>-0.344696876143058</v>
      </c>
      <c r="P5" s="21">
        <f>[4]World!P2</f>
        <v>-0.38131519148529902</v>
      </c>
      <c r="Q5" s="21">
        <f>[4]World!Q2</f>
        <v>-0.41831967847414397</v>
      </c>
      <c r="R5" s="21">
        <f>[4]World!R2</f>
        <v>-0.45475353144343</v>
      </c>
      <c r="S5" s="21">
        <f>[4]World!S2</f>
        <v>-0.49089292103181598</v>
      </c>
      <c r="T5" s="21">
        <f>[4]World!T2</f>
        <v>-0.52646886947172999</v>
      </c>
      <c r="U5" s="21">
        <f>[4]World!U2</f>
        <v>-0.56124096537730805</v>
      </c>
      <c r="V5" s="21">
        <f>[4]World!V2</f>
        <v>-0.59556603816839404</v>
      </c>
      <c r="W5" s="21">
        <f>[4]World!W2</f>
        <v>-0.62762288362916396</v>
      </c>
      <c r="X5" s="21">
        <f>[4]World!X2</f>
        <v>-0.658559695890093</v>
      </c>
      <c r="Y5" s="21">
        <f>[4]World!Y2</f>
        <v>-0.68742514565782697</v>
      </c>
    </row>
    <row r="6" spans="1:25">
      <c r="A6" s="53" t="s">
        <v>126</v>
      </c>
      <c r="B6" s="21">
        <f>[5]World!B2</f>
        <v>-5.6389097072384597E-2</v>
      </c>
      <c r="C6" s="21">
        <f>[5]World!C2</f>
        <v>-5.5743973272026598E-2</v>
      </c>
      <c r="D6" s="21">
        <f>[5]World!D2</f>
        <v>-5.72193411014221E-2</v>
      </c>
      <c r="E6" s="21">
        <f>[5]World!E2</f>
        <v>-5.7599172986955202E-2</v>
      </c>
      <c r="F6" s="21">
        <f>[5]World!F2</f>
        <v>-5.7984398527744001E-2</v>
      </c>
      <c r="G6" s="21">
        <f>[5]World!G2</f>
        <v>-5.8630361013078898E-2</v>
      </c>
      <c r="H6" s="21">
        <f>[5]World!H2</f>
        <v>-5.9086766911620202E-2</v>
      </c>
      <c r="I6" s="21">
        <f>[5]World!I2</f>
        <v>-5.9323622914941899E-2</v>
      </c>
      <c r="J6" s="21">
        <f>[5]World!J2</f>
        <v>-5.9287781474970401E-2</v>
      </c>
      <c r="K6" s="21">
        <f>[5]World!K2</f>
        <v>-5.9009705941381899E-2</v>
      </c>
      <c r="L6" s="21">
        <f>[5]World!L2</f>
        <v>-5.8433201831742401E-2</v>
      </c>
      <c r="M6" s="21">
        <f>[5]World!M2</f>
        <v>-5.7557612585945599E-2</v>
      </c>
      <c r="N6" s="21">
        <f>[5]World!N2</f>
        <v>-5.6407624946808198E-2</v>
      </c>
      <c r="O6" s="21">
        <f>[5]World!O2</f>
        <v>-5.49633846975595E-2</v>
      </c>
      <c r="P6" s="21">
        <f>[5]World!P2</f>
        <v>-5.3164906438851703E-2</v>
      </c>
      <c r="Q6" s="21">
        <f>[5]World!Q2</f>
        <v>-5.1063920316818397E-2</v>
      </c>
      <c r="R6" s="21">
        <f>[5]World!R2</f>
        <v>-4.8315383066743801E-2</v>
      </c>
      <c r="S6" s="21">
        <f>[5]World!S2</f>
        <v>-4.5318490219148397E-2</v>
      </c>
      <c r="T6" s="21">
        <f>[5]World!T2</f>
        <v>-4.1994503892417399E-2</v>
      </c>
      <c r="U6" s="21">
        <f>[5]World!U2</f>
        <v>-3.83811282733015E-2</v>
      </c>
      <c r="V6" s="21">
        <f>[5]World!V2</f>
        <v>-3.4849864181984998E-2</v>
      </c>
      <c r="W6" s="21">
        <f>[5]World!W2</f>
        <v>-3.0160243901589098E-2</v>
      </c>
      <c r="X6" s="21">
        <f>[5]World!X2</f>
        <v>-2.55752216592686E-2</v>
      </c>
      <c r="Y6" s="21">
        <f>[5]World!Y2</f>
        <v>-2.0387383300357598E-2</v>
      </c>
    </row>
    <row r="7" spans="1:25">
      <c r="A7" s="53" t="s">
        <v>127</v>
      </c>
      <c r="B7" s="21">
        <f>[6]World!B2</f>
        <v>-9.6597649081509002E-2</v>
      </c>
      <c r="C7" s="21">
        <f>[6]World!C2</f>
        <v>-0.106405343850224</v>
      </c>
      <c r="D7" s="21">
        <f>[6]World!D2</f>
        <v>-0.11856155284042399</v>
      </c>
      <c r="E7" s="21">
        <f>[6]World!E2</f>
        <v>-0.12947488984232899</v>
      </c>
      <c r="F7" s="21">
        <f>[6]World!F2</f>
        <v>-0.14038303422040399</v>
      </c>
      <c r="G7" s="21">
        <f>[6]World!G2</f>
        <v>-0.151359254752337</v>
      </c>
      <c r="H7" s="21">
        <f>[6]World!H2</f>
        <v>-0.161881399092456</v>
      </c>
      <c r="I7" s="21">
        <f>[6]World!I2</f>
        <v>-0.17187475572283401</v>
      </c>
      <c r="J7" s="21">
        <f>[6]World!J2</f>
        <v>-0.18125671462051501</v>
      </c>
      <c r="K7" s="21">
        <f>[6]World!K2</f>
        <v>-0.18998938101592</v>
      </c>
      <c r="L7" s="21">
        <f>[6]World!L2</f>
        <v>-0.19804486650842901</v>
      </c>
      <c r="M7" s="21">
        <f>[6]World!M2</f>
        <v>-0.20540747128084999</v>
      </c>
      <c r="N7" s="21">
        <f>[6]World!N2</f>
        <v>-0.21209597692197801</v>
      </c>
      <c r="O7" s="21">
        <f>[6]World!O2</f>
        <v>-0.21808483707200799</v>
      </c>
      <c r="P7" s="21">
        <f>[6]World!P2</f>
        <v>-0.22333899905374599</v>
      </c>
      <c r="Q7" s="21">
        <f>[6]World!Q2</f>
        <v>-0.22790394395819599</v>
      </c>
      <c r="R7" s="21">
        <f>[6]World!R2</f>
        <v>-0.23139150888043</v>
      </c>
      <c r="S7" s="21">
        <f>[6]World!S2</f>
        <v>-0.234225133413346</v>
      </c>
      <c r="T7" s="21">
        <f>[6]World!T2</f>
        <v>-0.23636778492905899</v>
      </c>
      <c r="U7" s="21">
        <f>[6]World!U2</f>
        <v>-0.23795659836177699</v>
      </c>
      <c r="V7" s="21">
        <f>[6]World!V2</f>
        <v>-0.23935199207788499</v>
      </c>
      <c r="W7" s="21">
        <f>[6]World!W2</f>
        <v>-0.239321147568927</v>
      </c>
      <c r="X7" s="21">
        <f>[6]World!X2</f>
        <v>-0.23916021809810001</v>
      </c>
      <c r="Y7" s="21">
        <f>[6]World!Y2</f>
        <v>-0.23820999890476999</v>
      </c>
    </row>
    <row r="8" spans="1:25">
      <c r="A8" s="53" t="s">
        <v>128</v>
      </c>
      <c r="B8" s="21">
        <f>[7]World!B2</f>
        <v>-8.7746546231504102E-2</v>
      </c>
      <c r="C8" s="21">
        <f>[7]World!C2</f>
        <v>-0.103564059329631</v>
      </c>
      <c r="D8" s="21">
        <f>[7]World!D2</f>
        <v>-0.12549261885750301</v>
      </c>
      <c r="E8" s="21">
        <f>[7]World!E2</f>
        <v>-0.149319474493259</v>
      </c>
      <c r="F8" s="21">
        <f>[7]World!F2</f>
        <v>-0.17601662987200001</v>
      </c>
      <c r="G8" s="21">
        <f>[7]World!G2</f>
        <v>-0.20547762288382099</v>
      </c>
      <c r="H8" s="21">
        <f>[7]World!H2</f>
        <v>-0.23701547356833599</v>
      </c>
      <c r="I8" s="21">
        <f>[7]World!I2</f>
        <v>-0.27039063285938503</v>
      </c>
      <c r="J8" s="21">
        <f>[7]World!J2</f>
        <v>-0.30534784742649601</v>
      </c>
      <c r="K8" s="21">
        <f>[7]World!K2</f>
        <v>-0.34172016176335901</v>
      </c>
      <c r="L8" s="21">
        <f>[7]World!L2</f>
        <v>-0.37926238940456702</v>
      </c>
      <c r="M8" s="21">
        <f>[7]World!M2</f>
        <v>-0.41775700246969899</v>
      </c>
      <c r="N8" s="21">
        <f>[7]World!N2</f>
        <v>-0.45703910513673601</v>
      </c>
      <c r="O8" s="21">
        <f>[7]World!O2</f>
        <v>-0.49685530851997201</v>
      </c>
      <c r="P8" s="21">
        <f>[7]World!P2</f>
        <v>-0.53706093214567197</v>
      </c>
      <c r="Q8" s="21">
        <f>[7]World!Q2</f>
        <v>-0.577508084712686</v>
      </c>
      <c r="R8" s="21">
        <f>[7]World!R2</f>
        <v>-0.61733674058953603</v>
      </c>
      <c r="S8" s="21">
        <f>[7]World!S2</f>
        <v>-0.65680787068199697</v>
      </c>
      <c r="T8" s="21">
        <f>[7]World!T2</f>
        <v>-0.69565784927810803</v>
      </c>
      <c r="U8" s="21">
        <f>[7]World!U2</f>
        <v>-0.73358127616879298</v>
      </c>
      <c r="V8" s="21">
        <f>[7]World!V2</f>
        <v>-0.77097193661921404</v>
      </c>
      <c r="W8" s="21">
        <f>[7]World!W2</f>
        <v>-0.80609814655516798</v>
      </c>
      <c r="X8" s="21">
        <f>[7]World!X2</f>
        <v>-0.840089955444701</v>
      </c>
      <c r="Y8" s="21">
        <f>[7]World!Y2</f>
        <v>-0.87201671992834795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2" t="s">
        <v>122</v>
      </c>
      <c r="B2" s="3">
        <f>[1]World!B3</f>
        <v>-0.104900402609542</v>
      </c>
      <c r="C2" s="3">
        <f>[1]World!C3</f>
        <v>-0.18462855123312399</v>
      </c>
      <c r="D2" s="3">
        <f>[1]World!D3</f>
        <v>-0.249077436173362</v>
      </c>
      <c r="E2" s="3">
        <f>[1]World!E3</f>
        <v>-0.29853765219349798</v>
      </c>
      <c r="F2" s="3">
        <f>[1]World!F3</f>
        <v>-0.33607657593560702</v>
      </c>
      <c r="G2" s="3">
        <f>[1]World!G3</f>
        <v>-0.36454686278729598</v>
      </c>
      <c r="H2" s="3">
        <f>[1]World!H3</f>
        <v>-0.38530715190612203</v>
      </c>
      <c r="I2" s="3">
        <f>[1]World!I3</f>
        <v>-0.39979412361407202</v>
      </c>
      <c r="J2" s="3">
        <f>[1]World!J3</f>
        <v>-0.40912645347654902</v>
      </c>
      <c r="K2" s="3">
        <f>[1]World!K3</f>
        <v>-0.41427152934647699</v>
      </c>
      <c r="L2" s="3">
        <f>[1]World!L3</f>
        <v>-0.41602381314680398</v>
      </c>
      <c r="M2" s="3">
        <f>[1]World!M3</f>
        <v>-0.41503611595737899</v>
      </c>
      <c r="N2" s="3">
        <f>[1]World!N3</f>
        <v>-0.41190843537094501</v>
      </c>
      <c r="O2" s="3">
        <f>[1]World!O3</f>
        <v>-0.40714428883670301</v>
      </c>
      <c r="P2" s="3">
        <f>[1]World!P3</f>
        <v>-0.40096479691098502</v>
      </c>
      <c r="Q2" s="3">
        <f>[1]World!Q3</f>
        <v>-0.39381546577006399</v>
      </c>
      <c r="R2" s="3">
        <f>[1]World!R3</f>
        <v>-0.385447277983197</v>
      </c>
      <c r="S2" s="3">
        <f>[1]World!S3</f>
        <v>-0.37652351265770001</v>
      </c>
      <c r="T2" s="3">
        <f>[1]World!T3</f>
        <v>-0.367203047533116</v>
      </c>
      <c r="U2" s="3">
        <f>[1]World!U3</f>
        <v>-0.35872723699829101</v>
      </c>
      <c r="V2" s="3">
        <f>[1]World!V3</f>
        <v>-0.35039893298966002</v>
      </c>
      <c r="W2" s="3">
        <f>[1]World!W3</f>
        <v>-0.34147930574743901</v>
      </c>
      <c r="X2" s="3">
        <f>[1]World!X3</f>
        <v>-0.33280344320505401</v>
      </c>
      <c r="Y2" s="3">
        <f>[1]World!Y3</f>
        <v>-0.32408286633512901</v>
      </c>
    </row>
    <row r="3" spans="1:25">
      <c r="A3" s="52" t="s">
        <v>123</v>
      </c>
      <c r="B3" s="3">
        <f>[2]World!B3</f>
        <v>-0.43522239086419801</v>
      </c>
      <c r="C3" s="3">
        <f>[2]World!C3</f>
        <v>-0.78468659772128502</v>
      </c>
      <c r="D3" s="3">
        <f>[2]World!D3</f>
        <v>-1.0665144441935901</v>
      </c>
      <c r="E3" s="3">
        <f>[2]World!E3</f>
        <v>-1.2884439333486699</v>
      </c>
      <c r="F3" s="3">
        <f>[2]World!F3</f>
        <v>-1.4598292986279999</v>
      </c>
      <c r="G3" s="3">
        <f>[2]World!G3</f>
        <v>-1.59094870988123</v>
      </c>
      <c r="H3" s="3">
        <f>[2]World!H3</f>
        <v>-1.68820896747285</v>
      </c>
      <c r="I3" s="3">
        <f>[2]World!I3</f>
        <v>-1.75739093992064</v>
      </c>
      <c r="J3" s="3">
        <f>[2]World!J3</f>
        <v>-1.8032245832788001</v>
      </c>
      <c r="K3" s="3">
        <f>[2]World!K3</f>
        <v>-1.82952158625672</v>
      </c>
      <c r="L3" s="3">
        <f>[2]World!L3</f>
        <v>-1.83999545118765</v>
      </c>
      <c r="M3" s="3">
        <f>[2]World!M3</f>
        <v>-1.8376587880014399</v>
      </c>
      <c r="N3" s="3">
        <f>[2]World!N3</f>
        <v>-1.8251042878894601</v>
      </c>
      <c r="O3" s="3">
        <f>[2]World!O3</f>
        <v>-1.80467128785778</v>
      </c>
      <c r="P3" s="3">
        <f>[2]World!P3</f>
        <v>-1.77794395969718</v>
      </c>
      <c r="Q3" s="3">
        <f>[2]World!Q3</f>
        <v>-1.74597168044589</v>
      </c>
      <c r="R3" s="3">
        <f>[2]World!R3</f>
        <v>-1.70896406746193</v>
      </c>
      <c r="S3" s="3">
        <f>[2]World!S3</f>
        <v>-1.66881424449614</v>
      </c>
      <c r="T3" s="3">
        <f>[2]World!T3</f>
        <v>-1.6266904375973601</v>
      </c>
      <c r="U3" s="3">
        <f>[2]World!U3</f>
        <v>-1.58878680007262</v>
      </c>
      <c r="V3" s="3">
        <f>[2]World!V3</f>
        <v>-1.5509259281639001</v>
      </c>
      <c r="W3" s="3">
        <f>[2]World!W3</f>
        <v>-1.5119888050981301</v>
      </c>
      <c r="X3" s="3">
        <f>[2]World!X3</f>
        <v>-1.4736744333932099</v>
      </c>
      <c r="Y3" s="3">
        <f>[2]World!Y3</f>
        <v>-1.4359685410771701</v>
      </c>
    </row>
    <row r="4" spans="1:25">
      <c r="A4" s="52" t="s">
        <v>124</v>
      </c>
      <c r="B4" s="3">
        <f>[3]World!B3</f>
        <v>-1.6987049282028299</v>
      </c>
      <c r="C4" s="3">
        <f>[3]World!C3</f>
        <v>-3.1984161090855898</v>
      </c>
      <c r="D4" s="3">
        <f>[3]World!D3</f>
        <v>-4.5315934107097</v>
      </c>
      <c r="E4" s="3">
        <f>[3]World!E3</f>
        <v>-5.7096464352814396</v>
      </c>
      <c r="F4" s="3">
        <f>[3]World!F3</f>
        <v>-6.7438168079788303</v>
      </c>
      <c r="G4" s="3">
        <f>[3]World!G3</f>
        <v>-7.6585018024398597</v>
      </c>
      <c r="H4" s="3">
        <f>[3]World!H3</f>
        <v>-8.4684129794513101</v>
      </c>
      <c r="I4" s="3">
        <f>[3]World!I3</f>
        <v>-9.1863299286439908</v>
      </c>
      <c r="J4" s="3">
        <f>[3]World!J3</f>
        <v>-9.8225960877399903</v>
      </c>
      <c r="K4" s="3">
        <f>[3]World!K3</f>
        <v>-10.3873692071632</v>
      </c>
      <c r="L4" s="3">
        <f>[3]World!L3</f>
        <v>-10.887301038768101</v>
      </c>
      <c r="M4" s="3">
        <f>[3]World!M3</f>
        <v>-11.32823394665</v>
      </c>
      <c r="N4" s="3">
        <f>[3]World!N3</f>
        <v>-11.7159157139047</v>
      </c>
      <c r="O4" s="3">
        <f>[3]World!O3</f>
        <v>-12.055249478801001</v>
      </c>
      <c r="P4" s="3">
        <f>[3]World!P3</f>
        <v>-12.352524811214</v>
      </c>
      <c r="Q4" s="3">
        <f>[3]World!Q3</f>
        <v>-12.605143324362601</v>
      </c>
      <c r="R4" s="3">
        <f>[3]World!R3</f>
        <v>-12.8141049217376</v>
      </c>
      <c r="S4" s="3">
        <f>[3]World!S3</f>
        <v>-12.983334229490399</v>
      </c>
      <c r="T4" s="3">
        <f>[3]World!T3</f>
        <v>-13.1170549499411</v>
      </c>
      <c r="U4" s="3">
        <f>[3]World!U3</f>
        <v>-13.2464597433507</v>
      </c>
      <c r="V4" s="3">
        <f>[3]World!V3</f>
        <v>-13.350146092108799</v>
      </c>
      <c r="W4" s="3">
        <f>[3]World!W3</f>
        <v>-13.423076176919301</v>
      </c>
      <c r="X4" s="3">
        <f>[3]World!X3</f>
        <v>-13.4722855127645</v>
      </c>
      <c r="Y4" s="3">
        <f>[3]World!Y3</f>
        <v>-13.498685400583099</v>
      </c>
    </row>
    <row r="5" spans="1:25">
      <c r="A5" s="52" t="s">
        <v>125</v>
      </c>
      <c r="B5" s="3">
        <f>[4]World!B3</f>
        <v>-2.1108790189802602</v>
      </c>
      <c r="C5" s="3">
        <f>[4]World!C3</f>
        <v>-3.9978556602089199</v>
      </c>
      <c r="D5" s="3">
        <f>[4]World!D3</f>
        <v>-5.6883451862919001</v>
      </c>
      <c r="E5" s="3">
        <f>[4]World!E3</f>
        <v>-7.1904394376690002</v>
      </c>
      <c r="F5" s="3">
        <f>[4]World!F3</f>
        <v>-8.5154577811481307</v>
      </c>
      <c r="G5" s="3">
        <f>[4]World!G3</f>
        <v>-9.6916227288495804</v>
      </c>
      <c r="H5" s="3">
        <f>[4]World!H3</f>
        <v>-10.7367143843367</v>
      </c>
      <c r="I5" s="3">
        <f>[4]World!I3</f>
        <v>-11.666669284608799</v>
      </c>
      <c r="J5" s="3">
        <f>[4]World!J3</f>
        <v>-12.4944521188569</v>
      </c>
      <c r="K5" s="3">
        <f>[4]World!K3</f>
        <v>-13.2315963774333</v>
      </c>
      <c r="L5" s="3">
        <f>[4]World!L3</f>
        <v>-13.887511679541101</v>
      </c>
      <c r="M5" s="3">
        <f>[4]World!M3</f>
        <v>-14.469846329348201</v>
      </c>
      <c r="N5" s="3">
        <f>[4]World!N3</f>
        <v>-14.9862703435142</v>
      </c>
      <c r="O5" s="3">
        <f>[4]World!O3</f>
        <v>-15.443213374052</v>
      </c>
      <c r="P5" s="3">
        <f>[4]World!P3</f>
        <v>-15.846171155756</v>
      </c>
      <c r="Q5" s="3">
        <f>[4]World!Q3</f>
        <v>-16.1974329314953</v>
      </c>
      <c r="R5" s="3">
        <f>[4]World!R3</f>
        <v>-16.494151374437301</v>
      </c>
      <c r="S5" s="3">
        <f>[4]World!S3</f>
        <v>-16.743282246181501</v>
      </c>
      <c r="T5" s="3">
        <f>[4]World!T3</f>
        <v>-16.9499444058374</v>
      </c>
      <c r="U5" s="3">
        <f>[4]World!U3</f>
        <v>-17.147598150124299</v>
      </c>
      <c r="V5" s="3">
        <f>[4]World!V3</f>
        <v>-17.315369435548298</v>
      </c>
      <c r="W5" s="3">
        <f>[4]World!W3</f>
        <v>-17.4464982537128</v>
      </c>
      <c r="X5" s="3">
        <f>[4]World!X3</f>
        <v>-17.548824344864201</v>
      </c>
      <c r="Y5" s="3">
        <f>[4]World!Y3</f>
        <v>-17.623632109119502</v>
      </c>
    </row>
    <row r="6" spans="1:25">
      <c r="A6" s="53" t="s">
        <v>126</v>
      </c>
      <c r="B6" s="3">
        <f>[5]World!B3</f>
        <v>-0.30643252050451802</v>
      </c>
      <c r="C6" s="3">
        <f>[5]World!C3</f>
        <v>-0.36499129661513602</v>
      </c>
      <c r="D6" s="3">
        <f>[5]World!D3</f>
        <v>-0.41059507174745502</v>
      </c>
      <c r="E6" s="3">
        <f>[5]World!E3</f>
        <v>-0.44330109086452302</v>
      </c>
      <c r="F6" s="3">
        <f>[5]World!F3</f>
        <v>-0.46562601310269303</v>
      </c>
      <c r="G6" s="3">
        <f>[5]World!G3</f>
        <v>-0.48049863053785102</v>
      </c>
      <c r="H6" s="3">
        <f>[5]World!H3</f>
        <v>-0.48905912811487701</v>
      </c>
      <c r="I6" s="3">
        <f>[5]World!I3</f>
        <v>-0.49257821213587499</v>
      </c>
      <c r="J6" s="3">
        <f>[5]World!J3</f>
        <v>-0.49202907949682501</v>
      </c>
      <c r="K6" s="3">
        <f>[5]World!K3</f>
        <v>-0.48825403000826201</v>
      </c>
      <c r="L6" s="3">
        <f>[5]World!L3</f>
        <v>-0.481968416635425</v>
      </c>
      <c r="M6" s="3">
        <f>[5]World!M3</f>
        <v>-0.47375167988658001</v>
      </c>
      <c r="N6" s="3">
        <f>[5]World!N3</f>
        <v>-0.46413130655582602</v>
      </c>
      <c r="O6" s="3">
        <f>[5]World!O3</f>
        <v>-0.45355155738446801</v>
      </c>
      <c r="P6" s="3">
        <f>[5]World!P3</f>
        <v>-0.442130446520905</v>
      </c>
      <c r="Q6" s="3">
        <f>[5]World!Q3</f>
        <v>-0.430325798006292</v>
      </c>
      <c r="R6" s="3">
        <f>[5]World!R3</f>
        <v>-0.41776436218817797</v>
      </c>
      <c r="S6" s="3">
        <f>[5]World!S3</f>
        <v>-0.405118114697267</v>
      </c>
      <c r="T6" s="3">
        <f>[5]World!T3</f>
        <v>-0.39249499308871</v>
      </c>
      <c r="U6" s="3">
        <f>[5]World!U3</f>
        <v>-0.38119075147386999</v>
      </c>
      <c r="V6" s="3">
        <f>[5]World!V3</f>
        <v>-0.37038399208997302</v>
      </c>
      <c r="W6" s="3">
        <f>[5]World!W3</f>
        <v>-0.35924402392187899</v>
      </c>
      <c r="X6" s="3">
        <f>[5]World!X3</f>
        <v>-0.34861924045020998</v>
      </c>
      <c r="Y6" s="3">
        <f>[5]World!Y3</f>
        <v>-0.33817075516928702</v>
      </c>
    </row>
    <row r="7" spans="1:25">
      <c r="A7" s="53" t="s">
        <v>127</v>
      </c>
      <c r="B7" s="3">
        <f>[6]World!B3</f>
        <v>-0.83704508944344402</v>
      </c>
      <c r="C7" s="3">
        <f>[6]World!C3</f>
        <v>-1.1734349708265699</v>
      </c>
      <c r="D7" s="3">
        <f>[6]World!D3</f>
        <v>-1.44282941132391</v>
      </c>
      <c r="E7" s="3">
        <f>[6]World!E3</f>
        <v>-1.6530842312788301</v>
      </c>
      <c r="F7" s="3">
        <f>[6]World!F3</f>
        <v>-1.8136728369271</v>
      </c>
      <c r="G7" s="3">
        <f>[6]World!G3</f>
        <v>-1.93468477810095</v>
      </c>
      <c r="H7" s="3">
        <f>[6]World!H3</f>
        <v>-2.0224337504538599</v>
      </c>
      <c r="I7" s="3">
        <f>[6]World!I3</f>
        <v>-2.0825723388653401</v>
      </c>
      <c r="J7" s="3">
        <f>[6]World!J3</f>
        <v>-2.1197530269957898</v>
      </c>
      <c r="K7" s="3">
        <f>[6]World!K3</f>
        <v>-2.1377312213652799</v>
      </c>
      <c r="L7" s="3">
        <f>[6]World!L3</f>
        <v>-2.1402091313513298</v>
      </c>
      <c r="M7" s="3">
        <f>[6]World!M3</f>
        <v>-2.1301687362924602</v>
      </c>
      <c r="N7" s="3">
        <f>[6]World!N3</f>
        <v>-2.11019887863181</v>
      </c>
      <c r="O7" s="3">
        <f>[6]World!O3</f>
        <v>-2.0826459332773499</v>
      </c>
      <c r="P7" s="3">
        <f>[6]World!P3</f>
        <v>-2.0490730742163299</v>
      </c>
      <c r="Q7" s="3">
        <f>[6]World!Q3</f>
        <v>-2.0104641041156102</v>
      </c>
      <c r="R7" s="3">
        <f>[6]World!R3</f>
        <v>-1.9670518553335199</v>
      </c>
      <c r="S7" s="3">
        <f>[6]World!S3</f>
        <v>-1.9207543673067899</v>
      </c>
      <c r="T7" s="3">
        <f>[6]World!T3</f>
        <v>-1.8727006310260701</v>
      </c>
      <c r="U7" s="3">
        <f>[6]World!U3</f>
        <v>-1.8294167653355</v>
      </c>
      <c r="V7" s="3">
        <f>[6]World!V3</f>
        <v>-1.7863612769705199</v>
      </c>
      <c r="W7" s="3">
        <f>[6]World!W3</f>
        <v>-1.74246947329901</v>
      </c>
      <c r="X7" s="3">
        <f>[6]World!X3</f>
        <v>-1.6994448461087199</v>
      </c>
      <c r="Y7" s="3">
        <f>[6]World!Y3</f>
        <v>-1.65725753195669</v>
      </c>
    </row>
    <row r="8" spans="1:25">
      <c r="A8" s="53" t="s">
        <v>128</v>
      </c>
      <c r="B8" s="3">
        <f>[7]World!B3</f>
        <v>-2.2177348095321001</v>
      </c>
      <c r="C8" s="3">
        <f>[7]World!C3</f>
        <v>-3.70422537521284</v>
      </c>
      <c r="D8" s="3">
        <f>[7]World!D3</f>
        <v>-5.02723755706588</v>
      </c>
      <c r="E8" s="3">
        <f>[7]World!E3</f>
        <v>-6.1966366419270198</v>
      </c>
      <c r="F8" s="3">
        <f>[7]World!F3</f>
        <v>-7.2236426840876602</v>
      </c>
      <c r="G8" s="3">
        <f>[7]World!G3</f>
        <v>-8.1324790887053098</v>
      </c>
      <c r="H8" s="3">
        <f>[7]World!H3</f>
        <v>-8.9375985277631607</v>
      </c>
      <c r="I8" s="3">
        <f>[7]World!I3</f>
        <v>-9.6515442983414896</v>
      </c>
      <c r="J8" s="3">
        <f>[7]World!J3</f>
        <v>-10.284481941961699</v>
      </c>
      <c r="K8" s="3">
        <f>[7]World!K3</f>
        <v>-10.846428989798699</v>
      </c>
      <c r="L8" s="3">
        <f>[7]World!L3</f>
        <v>-11.3439518451568</v>
      </c>
      <c r="M8" s="3">
        <f>[7]World!M3</f>
        <v>-11.7828211716797</v>
      </c>
      <c r="N8" s="3">
        <f>[7]World!N3</f>
        <v>-12.168716268889</v>
      </c>
      <c r="O8" s="3">
        <f>[7]World!O3</f>
        <v>-12.5064970603364</v>
      </c>
      <c r="P8" s="3">
        <f>[7]World!P3</f>
        <v>-12.8023882411123</v>
      </c>
      <c r="Q8" s="3">
        <f>[7]World!Q3</f>
        <v>-13.0538285638982</v>
      </c>
      <c r="R8" s="3">
        <f>[7]World!R3</f>
        <v>-13.261653456054299</v>
      </c>
      <c r="S8" s="3">
        <f>[7]World!S3</f>
        <v>-13.4298022329228</v>
      </c>
      <c r="T8" s="3">
        <f>[7]World!T3</f>
        <v>-13.5624757241984</v>
      </c>
      <c r="U8" s="3">
        <f>[7]World!U3</f>
        <v>-13.690939553325</v>
      </c>
      <c r="V8" s="3">
        <f>[7]World!V3</f>
        <v>-13.7937018225335</v>
      </c>
      <c r="W8" s="3">
        <f>[7]World!W3</f>
        <v>-13.8656252465299</v>
      </c>
      <c r="X8" s="3">
        <f>[7]World!X3</f>
        <v>-13.9137521640339</v>
      </c>
      <c r="Y8" s="3">
        <f>[7]World!Y3</f>
        <v>-13.9389777575193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="70" zoomScaleNormal="70" workbookViewId="0">
      <selection activeCell="C38" sqref="C38"/>
    </sheetView>
  </sheetViews>
  <sheetFormatPr baseColWidth="10" defaultColWidth="9" defaultRowHeight="15"/>
  <cols>
    <col min="9" max="9" width="9.1640625" customWidth="1"/>
  </cols>
  <sheetData>
    <row r="1" spans="1:11">
      <c r="A1" s="40"/>
      <c r="B1" s="49" t="s">
        <v>27</v>
      </c>
      <c r="C1" s="49" t="s">
        <v>28</v>
      </c>
      <c r="D1" s="49" t="s">
        <v>29</v>
      </c>
      <c r="E1" s="49" t="s">
        <v>30</v>
      </c>
      <c r="F1" s="49" t="s">
        <v>31</v>
      </c>
      <c r="G1" s="49" t="s">
        <v>32</v>
      </c>
      <c r="H1" s="49" t="s">
        <v>33</v>
      </c>
      <c r="I1" s="49" t="s">
        <v>34</v>
      </c>
      <c r="J1" s="49" t="s">
        <v>35</v>
      </c>
      <c r="K1" s="49" t="s">
        <v>36</v>
      </c>
    </row>
    <row r="2" spans="1:11" s="30" customFormat="1" ht="11.25" customHeight="1">
      <c r="A2" s="20" t="s">
        <v>20</v>
      </c>
      <c r="B2" s="41">
        <f>[1]GDPR!I25</f>
        <v>-0.205350353798994</v>
      </c>
      <c r="C2" s="42">
        <f>[1]GDPR!J25</f>
        <v>-4.14279088661762E-2</v>
      </c>
      <c r="D2" s="42">
        <f>[1]GDPR!B25</f>
        <v>-7.8302126422147303E-2</v>
      </c>
      <c r="E2" s="42">
        <f>[1]GDPR!G25</f>
        <v>-4.0941517192472103E-3</v>
      </c>
      <c r="F2" s="42">
        <f>[1]GDPR!F25</f>
        <v>-7.9116394469114199E-5</v>
      </c>
      <c r="G2" s="42">
        <f>[1]GDPR!D25</f>
        <v>0.16962184539583999</v>
      </c>
      <c r="H2" s="42">
        <f>[1]GDPR!E25</f>
        <v>0.46597533129095797</v>
      </c>
      <c r="I2" s="42">
        <f>[1]GDPR!K25</f>
        <v>-2.2748584100451601E-2</v>
      </c>
      <c r="J2" s="42">
        <f>[1]GDPR!C25</f>
        <v>-0.37598291872708001</v>
      </c>
      <c r="K2" s="42">
        <f>[1]GDPR!H25</f>
        <v>-0.29959039090596801</v>
      </c>
    </row>
    <row r="3" spans="1:11" s="30" customFormat="1">
      <c r="A3" s="20" t="s">
        <v>21</v>
      </c>
      <c r="B3" s="42">
        <f>[2]GDPR!I25</f>
        <v>-0.14599114364169899</v>
      </c>
      <c r="C3" s="42">
        <f>[2]GDPR!J25</f>
        <v>-0.33466806392277199</v>
      </c>
      <c r="D3" s="42">
        <f>[2]GDPR!B25</f>
        <v>-0.30201613690338203</v>
      </c>
      <c r="E3" s="41">
        <f>[2]GDPR!G25</f>
        <v>-0.24687070634570299</v>
      </c>
      <c r="F3" s="41">
        <f>[2]GDPR!F25</f>
        <v>-0.118226275388289</v>
      </c>
      <c r="G3" s="42">
        <f>[2]GDPR!D25</f>
        <v>0.165034825862476</v>
      </c>
      <c r="H3" s="42">
        <f>[2]GDPR!E25</f>
        <v>0.50492374958777098</v>
      </c>
      <c r="I3" s="42">
        <f>[2]GDPR!K25</f>
        <v>-4.0196213126386701E-2</v>
      </c>
      <c r="J3" s="42">
        <f>[2]GDPR!C25</f>
        <v>-0.68125627634193497</v>
      </c>
      <c r="K3" s="42">
        <f>[2]GDPR!H25</f>
        <v>-0.54722375425877401</v>
      </c>
    </row>
    <row r="4" spans="1:11" s="30" customFormat="1">
      <c r="A4" s="20" t="s">
        <v>22</v>
      </c>
      <c r="B4" s="42">
        <f>[3]GDPR!I25</f>
        <v>-4.33786659892577E-2</v>
      </c>
      <c r="C4" s="42">
        <f>[3]GDPR!J25</f>
        <v>-0.26507763369279003</v>
      </c>
      <c r="D4" s="42">
        <f>[3]GDPR!B25</f>
        <v>-0.41639985933575901</v>
      </c>
      <c r="E4" s="42">
        <f>[3]GDPR!G25</f>
        <v>-0.26944061545000098</v>
      </c>
      <c r="F4" s="42">
        <f>[3]GDPR!F25</f>
        <v>-0.382681890745451</v>
      </c>
      <c r="G4" s="42">
        <f>[3]GDPR!D25</f>
        <v>-1.3956810106473001</v>
      </c>
      <c r="H4" s="41">
        <f>[3]GDPR!E25</f>
        <v>-0.38868959439302098</v>
      </c>
      <c r="I4" s="42">
        <f>[3]GDPR!K25</f>
        <v>-0.24387184994675301</v>
      </c>
      <c r="J4" s="42">
        <f>[3]GDPR!C25</f>
        <v>-1.39076455920362</v>
      </c>
      <c r="K4" s="42">
        <f>[3]GDPR!H25</f>
        <v>-1.2346108396623601</v>
      </c>
    </row>
    <row r="5" spans="1:11" s="30" customFormat="1">
      <c r="A5" s="20" t="s">
        <v>23</v>
      </c>
      <c r="B5" s="42">
        <f>[4]GDPR!I25</f>
        <v>3.3642985715842698E-2</v>
      </c>
      <c r="C5" s="42">
        <f>[4]GDPR!J25</f>
        <v>-0.252229304363494</v>
      </c>
      <c r="D5" s="42">
        <f>[4]GDPR!B25</f>
        <v>-0.50485797933552701</v>
      </c>
      <c r="E5" s="42">
        <f>[4]GDPR!G25</f>
        <v>-0.29658140351219697</v>
      </c>
      <c r="F5" s="42">
        <f>[4]GDPR!F25</f>
        <v>-0.31536164301276798</v>
      </c>
      <c r="G5" s="42">
        <f>[4]GDPR!D25</f>
        <v>-1.37200145773602</v>
      </c>
      <c r="H5" s="42">
        <f>[4]GDPR!E25</f>
        <v>-0.19927377558406301</v>
      </c>
      <c r="I5" s="41">
        <f>[4]GDPR!K25</f>
        <v>-0.583829037883699</v>
      </c>
      <c r="J5" s="41">
        <f>[4]GDPR!C25</f>
        <v>-2.9962813061840499</v>
      </c>
      <c r="K5" s="41">
        <f>[4]GDPR!H25</f>
        <v>-1.3951939456965601</v>
      </c>
    </row>
    <row r="6" spans="1:11">
      <c r="A6" s="23" t="s">
        <v>24</v>
      </c>
      <c r="B6" s="43">
        <f>[5]GDPR!I25</f>
        <v>-1.4894745597077701</v>
      </c>
      <c r="C6" s="44">
        <f>[5]GDPR!J25</f>
        <v>0.23966004321509499</v>
      </c>
      <c r="D6" s="44">
        <f>[5]GDPR!B25</f>
        <v>-5.5326219262408199E-3</v>
      </c>
      <c r="E6" s="45">
        <f>[5]GDPR!G25</f>
        <v>4.3097829924265703E-2</v>
      </c>
      <c r="F6" s="44">
        <f>[5]GDPR!F25</f>
        <v>0.202760222382081</v>
      </c>
      <c r="G6" s="45">
        <f>[5]GDPR!D25</f>
        <v>0.234722762408901</v>
      </c>
      <c r="H6" s="44">
        <f>[5]GDPR!E25</f>
        <v>0.51150648020439304</v>
      </c>
      <c r="I6" s="44">
        <f>[5]GDPR!K25</f>
        <v>7.1710390886758901E-2</v>
      </c>
      <c r="J6" s="45">
        <f>[5]GDPR!C25</f>
        <v>-0.22273155107770401</v>
      </c>
      <c r="K6" s="44">
        <f>[5]GDPR!H25</f>
        <v>-0.238406596927909</v>
      </c>
    </row>
    <row r="7" spans="1:11" s="30" customFormat="1">
      <c r="A7" s="23" t="s">
        <v>25</v>
      </c>
      <c r="B7" s="42">
        <f>[6]GDPR!I25</f>
        <v>-0.71151306712205997</v>
      </c>
      <c r="C7" s="42">
        <f>[6]GDPR!J25</f>
        <v>-1.0403973199918799</v>
      </c>
      <c r="D7" s="42">
        <f>[6]GDPR!B25</f>
        <v>-0.46556418969742103</v>
      </c>
      <c r="E7" s="41">
        <f>[6]GDPR!G25</f>
        <v>-0.74644271976782595</v>
      </c>
      <c r="F7" s="41">
        <f>[6]GDPR!F25</f>
        <v>0.149251880662327</v>
      </c>
      <c r="G7" s="42">
        <f>[6]GDPR!D25</f>
        <v>0.21909831375559499</v>
      </c>
      <c r="H7" s="42">
        <f>[6]GDPR!E25</f>
        <v>0.479851428078715</v>
      </c>
      <c r="I7" s="42">
        <f>[6]GDPR!K25</f>
        <v>4.8082118185965902E-2</v>
      </c>
      <c r="J7" s="42">
        <f>[6]GDPR!C25</f>
        <v>-0.63261051183810502</v>
      </c>
      <c r="K7" s="42">
        <f>[6]GDPR!H25</f>
        <v>-0.45514858855287799</v>
      </c>
    </row>
    <row r="8" spans="1:11" s="30" customFormat="1">
      <c r="A8" s="23" t="s">
        <v>26</v>
      </c>
      <c r="B8" s="42">
        <f>[7]GDPR!I25</f>
        <v>-0.27414246246465501</v>
      </c>
      <c r="C8" s="42">
        <f>[7]GDPR!J25</f>
        <v>-0.50419140452326905</v>
      </c>
      <c r="D8" s="42">
        <f>[7]GDPR!B25</f>
        <v>-0.42651696232774999</v>
      </c>
      <c r="E8" s="42">
        <f>[7]GDPR!G25</f>
        <v>-0.39724220636415702</v>
      </c>
      <c r="F8" s="42">
        <f>[7]GDPR!F25</f>
        <v>-0.46278492245013197</v>
      </c>
      <c r="G8" s="42">
        <f>[7]GDPR!D25</f>
        <v>-1.7277755822929799</v>
      </c>
      <c r="H8" s="41">
        <f>[7]GDPR!E25</f>
        <v>-0.83915169667808698</v>
      </c>
      <c r="I8" s="42">
        <f>[7]GDPR!K25</f>
        <v>-0.48234797697771498</v>
      </c>
      <c r="J8" s="42">
        <f>[7]GDPR!C25</f>
        <v>-1.44570269813625</v>
      </c>
      <c r="K8" s="42">
        <f>[7]GDPR!H25</f>
        <v>-1.1996152124792501</v>
      </c>
    </row>
    <row r="20" spans="1:1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>
      <c r="A21" s="36"/>
      <c r="B21" s="38"/>
      <c r="C21" s="39"/>
      <c r="D21" s="39"/>
      <c r="E21" s="39"/>
      <c r="F21" s="39"/>
      <c r="G21" s="39"/>
      <c r="H21" s="39"/>
      <c r="I21" s="39"/>
      <c r="J21" s="39"/>
      <c r="K21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A2" sqref="A2"/>
    </sheetView>
  </sheetViews>
  <sheetFormatPr baseColWidth="10" defaultColWidth="9" defaultRowHeight="15"/>
  <cols>
    <col min="1" max="16384" width="9" style="35"/>
  </cols>
  <sheetData>
    <row r="1" spans="1:11">
      <c r="A1" s="36"/>
      <c r="B1" s="50" t="s">
        <v>27</v>
      </c>
      <c r="C1" s="50" t="s">
        <v>37</v>
      </c>
      <c r="D1" s="50" t="s">
        <v>29</v>
      </c>
      <c r="E1" s="50" t="s">
        <v>30</v>
      </c>
      <c r="F1" s="50" t="s">
        <v>31</v>
      </c>
      <c r="G1" s="50" t="s">
        <v>32</v>
      </c>
      <c r="H1" s="50" t="s">
        <v>33</v>
      </c>
      <c r="I1" s="50" t="s">
        <v>38</v>
      </c>
      <c r="J1" s="50" t="s">
        <v>35</v>
      </c>
      <c r="K1" s="50" t="s">
        <v>39</v>
      </c>
    </row>
    <row r="2" spans="1:11">
      <c r="A2" s="36" t="s">
        <v>40</v>
      </c>
      <c r="B2" s="38">
        <f>[1]GDPR!I25</f>
        <v>-0.205350353798994</v>
      </c>
      <c r="C2" s="39">
        <f>[1]GDPR!J25</f>
        <v>-4.14279088661762E-2</v>
      </c>
      <c r="D2" s="39">
        <f>[1]GDPR!B25</f>
        <v>-7.8302126422147303E-2</v>
      </c>
      <c r="E2" s="39">
        <f>[1]GDPR!G25</f>
        <v>-4.0941517192472103E-3</v>
      </c>
      <c r="F2" s="39">
        <f>[1]GDPR!F25</f>
        <v>-7.9116394469114199E-5</v>
      </c>
      <c r="G2" s="39">
        <f>[1]GDPR!D25</f>
        <v>0.16962184539583999</v>
      </c>
      <c r="H2" s="39">
        <f>[1]GDPR!E25</f>
        <v>0.46597533129095797</v>
      </c>
      <c r="I2" s="39">
        <f>[1]GDPR!K25</f>
        <v>-2.2748584100451601E-2</v>
      </c>
      <c r="J2" s="39">
        <f>[1]GDPR!C25</f>
        <v>-0.37598291872708001</v>
      </c>
      <c r="K2" s="39">
        <f>[1]GDPR!H25</f>
        <v>-0.29959039090596801</v>
      </c>
    </row>
    <row r="3" spans="1:11">
      <c r="A3" s="36" t="s">
        <v>41</v>
      </c>
      <c r="B3" s="39">
        <f>[2]GDPR!I25</f>
        <v>-0.14599114364169899</v>
      </c>
      <c r="C3" s="39">
        <f>[2]GDPR!J25</f>
        <v>-0.33466806392277199</v>
      </c>
      <c r="D3" s="39">
        <f>[2]GDPR!B25</f>
        <v>-0.30201613690338203</v>
      </c>
      <c r="E3" s="38">
        <f>[2]GDPR!G25</f>
        <v>-0.24687070634570299</v>
      </c>
      <c r="F3" s="38">
        <f>[2]GDPR!F25</f>
        <v>-0.118226275388289</v>
      </c>
      <c r="G3" s="39">
        <f>[2]GDPR!D25</f>
        <v>0.165034825862476</v>
      </c>
      <c r="H3" s="39">
        <f>[2]GDPR!E25</f>
        <v>0.50492374958777098</v>
      </c>
      <c r="I3" s="39">
        <f>[2]GDPR!K25</f>
        <v>-4.0196213126386701E-2</v>
      </c>
      <c r="J3" s="39">
        <f>[2]GDPR!C25</f>
        <v>-0.68125627634193497</v>
      </c>
      <c r="K3" s="39">
        <f>[2]GDPR!H25</f>
        <v>-0.54722375425877401</v>
      </c>
    </row>
    <row r="4" spans="1:11">
      <c r="A4" s="36" t="s">
        <v>42</v>
      </c>
      <c r="B4" s="39">
        <f>[3]GDPR!I25</f>
        <v>-4.33786659892577E-2</v>
      </c>
      <c r="C4" s="39">
        <f>[3]GDPR!J25</f>
        <v>-0.26507763369279003</v>
      </c>
      <c r="D4" s="39">
        <f>[3]GDPR!B25</f>
        <v>-0.41639985933575901</v>
      </c>
      <c r="E4" s="39">
        <f>[3]GDPR!G25</f>
        <v>-0.26944061545000098</v>
      </c>
      <c r="F4" s="39">
        <f>[3]GDPR!F25</f>
        <v>-0.382681890745451</v>
      </c>
      <c r="G4" s="39">
        <f>[3]GDPR!D25</f>
        <v>-1.3956810106473001</v>
      </c>
      <c r="H4" s="38">
        <f>[3]GDPR!E25</f>
        <v>-0.38868959439302098</v>
      </c>
      <c r="I4" s="39">
        <f>[3]GDPR!K25</f>
        <v>-0.24387184994675301</v>
      </c>
      <c r="J4" s="39">
        <f>[3]GDPR!C25</f>
        <v>-1.39076455920362</v>
      </c>
      <c r="K4" s="39">
        <f>[3]GDPR!H25</f>
        <v>-1.2346108396623601</v>
      </c>
    </row>
    <row r="5" spans="1:11">
      <c r="A5" s="36" t="s">
        <v>43</v>
      </c>
      <c r="B5" s="39">
        <f>[4]GDPR!I25</f>
        <v>3.3642985715842698E-2</v>
      </c>
      <c r="C5" s="39">
        <f>[4]GDPR!J25</f>
        <v>-0.252229304363494</v>
      </c>
      <c r="D5" s="39">
        <f>[4]GDPR!B25</f>
        <v>-0.50485797933552701</v>
      </c>
      <c r="E5" s="39">
        <f>[4]GDPR!G25</f>
        <v>-0.29658140351219697</v>
      </c>
      <c r="F5" s="39">
        <f>[4]GDPR!F25</f>
        <v>-0.31536164301276798</v>
      </c>
      <c r="G5" s="39">
        <f>[4]GDPR!D25</f>
        <v>-1.37200145773602</v>
      </c>
      <c r="H5" s="39">
        <f>[4]GDPR!E25</f>
        <v>-0.19927377558406301</v>
      </c>
      <c r="I5" s="38">
        <f>[4]GDPR!K25</f>
        <v>-0.583829037883699</v>
      </c>
      <c r="J5" s="38">
        <f>[4]GDPR!C25</f>
        <v>-2.9962813061840499</v>
      </c>
      <c r="K5" s="38">
        <f>[4]GDPR!H25</f>
        <v>-1.3951939456965601</v>
      </c>
    </row>
    <row r="6" spans="1:11">
      <c r="A6" s="36"/>
      <c r="B6" s="39"/>
      <c r="C6" s="39"/>
      <c r="D6" s="39"/>
      <c r="E6" s="39"/>
      <c r="F6" s="39"/>
      <c r="G6" s="39"/>
      <c r="H6" s="39"/>
      <c r="I6" s="38"/>
      <c r="J6" s="38"/>
      <c r="K6" s="38"/>
    </row>
    <row r="7" spans="1:11">
      <c r="A7" s="36" t="s">
        <v>44</v>
      </c>
      <c r="B7" s="38">
        <f>[5]GDPR!I25</f>
        <v>-1.4894745597077701</v>
      </c>
      <c r="C7" s="39">
        <f>[5]GDPR!J25</f>
        <v>0.23966004321509499</v>
      </c>
      <c r="D7" s="39">
        <f>[5]GDPR!B25</f>
        <v>-5.5326219262408199E-3</v>
      </c>
      <c r="E7" s="39">
        <f>[5]GDPR!G25</f>
        <v>4.3097829924265703E-2</v>
      </c>
      <c r="F7" s="39">
        <f>[5]GDPR!F25</f>
        <v>0.202760222382081</v>
      </c>
      <c r="G7" s="39">
        <f>[5]GDPR!D25</f>
        <v>0.234722762408901</v>
      </c>
      <c r="H7" s="39">
        <f>[5]GDPR!E25</f>
        <v>0.51150648020439304</v>
      </c>
      <c r="I7" s="39">
        <f>[5]GDPR!K25</f>
        <v>7.1710390886758901E-2</v>
      </c>
      <c r="J7" s="39">
        <f>[5]GDPR!C25</f>
        <v>-0.22273155107770401</v>
      </c>
      <c r="K7" s="39">
        <f>[5]GDPR!H25</f>
        <v>-0.238406596927909</v>
      </c>
    </row>
    <row r="8" spans="1:11">
      <c r="A8" s="36" t="s">
        <v>45</v>
      </c>
      <c r="B8" s="39">
        <f>[8]GDPR!I25</f>
        <v>-0.36865859574007898</v>
      </c>
      <c r="C8" s="39">
        <f>[8]GDPR!J25</f>
        <v>-0.58745845590882895</v>
      </c>
      <c r="D8" s="39">
        <f>[8]GDPR!B25</f>
        <v>-0.39872895304775602</v>
      </c>
      <c r="E8" s="39">
        <f>[8]GDPR!G25</f>
        <v>-0.42284914792122302</v>
      </c>
      <c r="F8" s="39">
        <f>[8]GDPR!F25</f>
        <v>-0.52983929449253997</v>
      </c>
      <c r="G8" s="38">
        <f>[8]GDPR!D25</f>
        <v>-1.85938935431548</v>
      </c>
      <c r="H8" s="38">
        <f>[8]GDPR!E25</f>
        <v>0.61135966511480799</v>
      </c>
      <c r="I8" s="39">
        <f>[8]GDPR!K25</f>
        <v>-0.40578475389420099</v>
      </c>
      <c r="J8" s="39">
        <f>[8]GDPR!C25</f>
        <v>-1.1528502636252</v>
      </c>
      <c r="K8" s="39">
        <f>[8]GDPR!H25</f>
        <v>-0.91960845089448195</v>
      </c>
    </row>
    <row r="9" spans="1:11">
      <c r="A9" s="36" t="s">
        <v>46</v>
      </c>
      <c r="B9" s="39">
        <f>[7]GDPR!I25</f>
        <v>-0.27414246246465501</v>
      </c>
      <c r="C9" s="39">
        <f>[7]GDPR!J25</f>
        <v>-0.50419140452326905</v>
      </c>
      <c r="D9" s="39">
        <f>[7]GDPR!B25</f>
        <v>-0.42651696232774999</v>
      </c>
      <c r="E9" s="39">
        <f>[7]GDPR!G25</f>
        <v>-0.39724220636415702</v>
      </c>
      <c r="F9" s="39">
        <f>[7]GDPR!F25</f>
        <v>-0.46278492245013197</v>
      </c>
      <c r="G9" s="39">
        <f>[7]GDPR!D25</f>
        <v>-1.7277755822929799</v>
      </c>
      <c r="H9" s="38">
        <f>[7]GDPR!E25</f>
        <v>-0.83915169667808698</v>
      </c>
      <c r="I9" s="39">
        <f>[7]GDPR!K25</f>
        <v>-0.48234797697771498</v>
      </c>
      <c r="J9" s="39">
        <f>[7]GDPR!C25</f>
        <v>-1.44570269813625</v>
      </c>
      <c r="K9" s="39">
        <f>[7]GDPR!H25</f>
        <v>-1.1996152124792501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tabSelected="1" workbookViewId="0">
      <selection activeCell="A2" sqref="A2:A8"/>
    </sheetView>
  </sheetViews>
  <sheetFormatPr baseColWidth="10" defaultColWidth="9" defaultRowHeight="15"/>
  <cols>
    <col min="2" max="3" width="9.83203125" customWidth="1"/>
    <col min="4" max="4" width="9.1640625" customWidth="1"/>
    <col min="5" max="11" width="9.83203125" customWidth="1"/>
  </cols>
  <sheetData>
    <row r="1" spans="1:11">
      <c r="B1" s="1" t="s">
        <v>27</v>
      </c>
      <c r="C1" s="1" t="s">
        <v>30</v>
      </c>
      <c r="D1" s="1" t="s">
        <v>29</v>
      </c>
      <c r="E1" s="1" t="s">
        <v>28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s="52" t="s">
        <v>122</v>
      </c>
      <c r="B2" s="33">
        <f>[1]CO2!I25</f>
        <v>-13.901573327991899</v>
      </c>
      <c r="C2" s="33">
        <f>[1]CO2!G25</f>
        <v>0.47278535481871697</v>
      </c>
      <c r="D2" s="33">
        <f>[1]CO2!B25</f>
        <v>0.20635650741422901</v>
      </c>
      <c r="E2" s="33">
        <f>[1]CO2!J25</f>
        <v>0.726779146958623</v>
      </c>
      <c r="F2" s="33">
        <f>[1]CO2!F25</f>
        <v>0.54460861908221003</v>
      </c>
      <c r="G2" s="33">
        <f>[1]CO2!D25</f>
        <v>0.37632625950718701</v>
      </c>
      <c r="H2" s="33">
        <f>[1]CO2!E25</f>
        <v>0.66502414092668405</v>
      </c>
      <c r="I2" s="33">
        <f>[1]CO2!K25</f>
        <v>0.50869626886185204</v>
      </c>
      <c r="J2" s="33">
        <f>[1]CO2!C25</f>
        <v>-0.31457385425428502</v>
      </c>
      <c r="K2" s="33">
        <f>[1]CO2!H25</f>
        <v>1.9192364465903101E-2</v>
      </c>
    </row>
    <row r="3" spans="1:11">
      <c r="A3" s="52" t="s">
        <v>123</v>
      </c>
      <c r="B3" s="33">
        <f>[2]CO2!I25</f>
        <v>-12.4367760222299</v>
      </c>
      <c r="C3" s="33">
        <f>[2]CO2!G25</f>
        <v>-16.113793838748801</v>
      </c>
      <c r="D3" s="33">
        <f>[2]CO2!B25</f>
        <v>-8.2069949893777494</v>
      </c>
      <c r="E3" s="33">
        <f>[2]CO2!J25</f>
        <v>-14.087043056833799</v>
      </c>
      <c r="F3" s="33">
        <f>[2]CO2!F25</f>
        <v>2.0982562004725902</v>
      </c>
      <c r="G3" s="33">
        <f>[2]CO2!D25</f>
        <v>1.74030527931501</v>
      </c>
      <c r="H3" s="33">
        <f>[2]CO2!E25</f>
        <v>3.6732176435965198</v>
      </c>
      <c r="I3" s="33">
        <f>[2]CO2!K25</f>
        <v>2.5308403348090098</v>
      </c>
      <c r="J3" s="33">
        <f>[2]CO2!C25</f>
        <v>-0.33369719274954901</v>
      </c>
      <c r="K3" s="33">
        <f>[2]CO2!H25</f>
        <v>0.91975920070512796</v>
      </c>
    </row>
    <row r="4" spans="1:11">
      <c r="A4" s="52" t="s">
        <v>124</v>
      </c>
      <c r="B4" s="33">
        <f>[3]CO2!I25</f>
        <v>-10.3235583629264</v>
      </c>
      <c r="C4" s="33">
        <f>[3]CO2!G25</f>
        <v>-14.5505723088288</v>
      </c>
      <c r="D4" s="33">
        <f>[3]CO2!B25</f>
        <v>-7.41871901866834</v>
      </c>
      <c r="E4" s="33">
        <f>[3]CO2!J25</f>
        <v>-10.831659569789</v>
      </c>
      <c r="F4" s="33">
        <f>[3]CO2!F25</f>
        <v>-11.4946875573205</v>
      </c>
      <c r="G4" s="33">
        <f>[3]CO2!D25</f>
        <v>-25.628659898984601</v>
      </c>
      <c r="H4" s="33">
        <f>[3]CO2!E25</f>
        <v>-17.724729510183099</v>
      </c>
      <c r="I4" s="33">
        <f>[3]CO2!K25</f>
        <v>9.4786429700951995</v>
      </c>
      <c r="J4" s="33">
        <f>[3]CO2!C25</f>
        <v>2.47032367553388</v>
      </c>
      <c r="K4" s="33">
        <f>[3]CO2!H25</f>
        <v>2.7460299147670701</v>
      </c>
    </row>
    <row r="5" spans="1:11">
      <c r="A5" s="52" t="s">
        <v>125</v>
      </c>
      <c r="B5" s="33">
        <f>[4]CO2!I25</f>
        <v>-7.8904900358499699</v>
      </c>
      <c r="C5" s="33">
        <f>[4]CO2!G25</f>
        <v>-13.4218657176324</v>
      </c>
      <c r="D5" s="33">
        <f>[4]CO2!B25</f>
        <v>-6.8968312258760101</v>
      </c>
      <c r="E5" s="33">
        <f>[4]CO2!J25</f>
        <v>-8.4425907830677396</v>
      </c>
      <c r="F5" s="33">
        <f>[4]CO2!F25</f>
        <v>-9.3339933672767206</v>
      </c>
      <c r="G5" s="33">
        <f>[4]CO2!D25</f>
        <v>-24.626060771222701</v>
      </c>
      <c r="H5" s="33">
        <f>[4]CO2!E25</f>
        <v>-15.3529665833276</v>
      </c>
      <c r="I5" s="33">
        <f>[4]CO2!K25</f>
        <v>-10.8453000731212</v>
      </c>
      <c r="J5" s="33">
        <f>[4]CO2!C25</f>
        <v>-27.096278767495001</v>
      </c>
      <c r="K5" s="33">
        <f>[4]CO2!H25</f>
        <v>-14.8760499251953</v>
      </c>
    </row>
    <row r="6" spans="1:11">
      <c r="A6" s="53" t="s">
        <v>126</v>
      </c>
      <c r="B6" s="34">
        <f>[5]CO2!I25</f>
        <v>-17.173225485448501</v>
      </c>
      <c r="C6" s="34">
        <f>[5]CO2!G25</f>
        <v>0.61088519935557095</v>
      </c>
      <c r="D6" s="34">
        <f>[5]CO2!B25</f>
        <v>0.30646662518711798</v>
      </c>
      <c r="E6" s="34">
        <f>[5]CO2!J25</f>
        <v>0.90101848982564503</v>
      </c>
      <c r="F6" s="34">
        <f>[5]CO2!F25</f>
        <v>1.02291967607067</v>
      </c>
      <c r="G6" s="34">
        <f>[5]CO2!D25</f>
        <v>0.49772770865197402</v>
      </c>
      <c r="H6" s="34">
        <f>[5]CO2!E25</f>
        <v>0.818609816222859</v>
      </c>
      <c r="I6" s="34">
        <f>[5]CO2!K25</f>
        <v>0.69718486753123099</v>
      </c>
      <c r="J6" s="34">
        <f>[5]CO2!C25</f>
        <v>5.4068365736736901E-2</v>
      </c>
      <c r="K6" s="34">
        <f>[5]CO2!H25</f>
        <v>0.25729455792873301</v>
      </c>
    </row>
    <row r="7" spans="1:11">
      <c r="A7" s="53" t="s">
        <v>127</v>
      </c>
      <c r="B7" s="34">
        <f>[6]CO2!I25</f>
        <v>-14.1732005688022</v>
      </c>
      <c r="C7" s="34">
        <f>[6]CO2!G25</f>
        <v>-16.946139696621699</v>
      </c>
      <c r="D7" s="34">
        <f>[6]CO2!B25</f>
        <v>-8.5026584769577003</v>
      </c>
      <c r="E7" s="34">
        <f>[6]CO2!J25</f>
        <v>-15.787635486588499</v>
      </c>
      <c r="F7" s="34">
        <f>[6]CO2!F25</f>
        <v>0.76705958646932104</v>
      </c>
      <c r="G7" s="34">
        <f>[6]CO2!D25</f>
        <v>1.76085757881586</v>
      </c>
      <c r="H7" s="34">
        <f>[6]CO2!E25</f>
        <v>3.7014792370565899</v>
      </c>
      <c r="I7" s="34">
        <f>[6]CO2!K25</f>
        <v>2.49298640004656</v>
      </c>
      <c r="J7" s="34">
        <f>[6]CO2!C25</f>
        <v>7.2936857006022898E-2</v>
      </c>
      <c r="K7" s="34">
        <f>[6]CO2!H25</f>
        <v>1.36176773532746</v>
      </c>
    </row>
    <row r="8" spans="1:11">
      <c r="A8" s="53" t="s">
        <v>128</v>
      </c>
      <c r="B8" s="34">
        <f>[7]CO2!I25</f>
        <v>-11.502340443829601</v>
      </c>
      <c r="C8" s="34">
        <f>[7]CO2!G25</f>
        <v>-14.887370687960599</v>
      </c>
      <c r="D8" s="34">
        <f>[7]CO2!B25</f>
        <v>-7.5206534109691701</v>
      </c>
      <c r="E8" s="34">
        <f>[7]CO2!J25</f>
        <v>-11.717568914433301</v>
      </c>
      <c r="F8" s="34">
        <f>[7]CO2!F25</f>
        <v>-11.704545563103199</v>
      </c>
      <c r="G8" s="34">
        <f>[7]CO2!D25</f>
        <v>-26.1402097613534</v>
      </c>
      <c r="H8" s="34">
        <f>[7]CO2!E25</f>
        <v>-18.493445057672599</v>
      </c>
      <c r="I8" s="34">
        <f>[7]CO2!K25</f>
        <v>8.8423126061374209</v>
      </c>
      <c r="J8" s="34">
        <f>[7]CO2!C25</f>
        <v>3.1810584468618499</v>
      </c>
      <c r="K8" s="34">
        <f>[7]CO2!H25</f>
        <v>3.6411711580857098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"/>
  <sheetViews>
    <sheetView topLeftCell="O1" workbookViewId="0">
      <selection activeCell="AA11" sqref="AA11"/>
    </sheetView>
  </sheetViews>
  <sheetFormatPr baseColWidth="10" defaultColWidth="9" defaultRowHeight="15"/>
  <cols>
    <col min="2" max="11" width="14"/>
    <col min="12" max="25" width="12.83203125"/>
  </cols>
  <sheetData>
    <row r="1" spans="1:25">
      <c r="A1" s="1"/>
      <c r="B1" s="51" t="s">
        <v>47</v>
      </c>
      <c r="C1" s="51" t="s">
        <v>48</v>
      </c>
      <c r="D1" s="51" t="s">
        <v>49</v>
      </c>
      <c r="E1" s="51" t="s">
        <v>50</v>
      </c>
      <c r="F1" s="51" t="s">
        <v>51</v>
      </c>
      <c r="G1" s="51" t="s">
        <v>52</v>
      </c>
      <c r="H1" s="51" t="s">
        <v>53</v>
      </c>
      <c r="I1" s="51" t="s">
        <v>54</v>
      </c>
      <c r="J1" s="51" t="s">
        <v>55</v>
      </c>
      <c r="K1" s="51" t="s">
        <v>56</v>
      </c>
      <c r="L1" s="51" t="s">
        <v>57</v>
      </c>
      <c r="M1" s="51" t="s">
        <v>58</v>
      </c>
      <c r="N1" s="51" t="s">
        <v>59</v>
      </c>
      <c r="O1" s="51" t="s">
        <v>60</v>
      </c>
      <c r="P1" s="51" t="s">
        <v>61</v>
      </c>
      <c r="Q1" s="51" t="s">
        <v>62</v>
      </c>
      <c r="R1" s="51" t="s">
        <v>63</v>
      </c>
      <c r="S1" s="51" t="s">
        <v>64</v>
      </c>
      <c r="T1" s="51" t="s">
        <v>65</v>
      </c>
      <c r="U1" s="51" t="s">
        <v>66</v>
      </c>
      <c r="V1" s="51" t="s">
        <v>67</v>
      </c>
      <c r="W1" s="51" t="s">
        <v>68</v>
      </c>
      <c r="X1" s="51" t="s">
        <v>69</v>
      </c>
      <c r="Y1" s="51" t="s">
        <v>70</v>
      </c>
    </row>
    <row r="2" spans="1:25">
      <c r="A2" s="20" t="s">
        <v>20</v>
      </c>
      <c r="B2" s="4">
        <f>[1]leak!A2</f>
        <v>27.792046271539999</v>
      </c>
      <c r="C2" s="4">
        <f>[1]leak!B2</f>
        <v>30.103398758735501</v>
      </c>
      <c r="D2" s="4">
        <f>[1]leak!C2</f>
        <v>31.1578344514934</v>
      </c>
      <c r="E2" s="4">
        <f>[1]leak!D2</f>
        <v>32.485286352294303</v>
      </c>
      <c r="F2" s="4">
        <f>[1]leak!E2</f>
        <v>33.827272310749201</v>
      </c>
      <c r="G2" s="4">
        <f>[1]leak!F2</f>
        <v>35.103164626866501</v>
      </c>
      <c r="H2" s="4">
        <f>[1]leak!G2</f>
        <v>36.389362292867801</v>
      </c>
      <c r="I2" s="4">
        <f>[1]leak!H2</f>
        <v>37.673771730408198</v>
      </c>
      <c r="J2" s="4">
        <f>[1]leak!I2</f>
        <v>38.952467288205597</v>
      </c>
      <c r="K2" s="4">
        <f>[1]leak!J2</f>
        <v>40.219758458266803</v>
      </c>
      <c r="L2" s="4">
        <f>[1]leak!K2</f>
        <v>41.466605809394601</v>
      </c>
      <c r="M2" s="4">
        <f>[1]leak!L2</f>
        <v>42.691910088663498</v>
      </c>
      <c r="N2" s="4">
        <f>[1]leak!M2</f>
        <v>43.886184551884</v>
      </c>
      <c r="O2" s="4">
        <f>[1]leak!N2</f>
        <v>45.045500261274597</v>
      </c>
      <c r="P2" s="4">
        <f>[1]leak!O2</f>
        <v>46.1652790594961</v>
      </c>
      <c r="Q2" s="4">
        <f>[1]leak!P2</f>
        <v>47.233992780985901</v>
      </c>
      <c r="R2" s="4">
        <f>[1]leak!Q2</f>
        <v>48.315064861806697</v>
      </c>
      <c r="S2" s="4">
        <f>[1]leak!R2</f>
        <v>49.350422385757703</v>
      </c>
      <c r="T2" s="4">
        <f>[1]leak!S2</f>
        <v>50.343985725670002</v>
      </c>
      <c r="U2" s="4">
        <f>[1]leak!T2</f>
        <v>51.266307080717297</v>
      </c>
      <c r="V2" s="4">
        <f>[1]leak!U2</f>
        <v>52.119843230578802</v>
      </c>
      <c r="W2" s="4">
        <f>[1]leak!V2</f>
        <v>52.997135602961698</v>
      </c>
      <c r="X2" s="4">
        <f>[1]leak!W2</f>
        <v>53.807493522467297</v>
      </c>
      <c r="Y2" s="4">
        <f>[1]leak!X2</f>
        <v>54.596944054842297</v>
      </c>
    </row>
    <row r="3" spans="1:25" s="30" customFormat="1">
      <c r="A3" s="20" t="s">
        <v>21</v>
      </c>
      <c r="B3" s="32">
        <f>[2]leak!A2</f>
        <v>21.462230925446601</v>
      </c>
      <c r="C3" s="32">
        <f>[2]leak!B2</f>
        <v>22.8362418036543</v>
      </c>
      <c r="D3" s="32">
        <f>[2]leak!C2</f>
        <v>24.012543002906501</v>
      </c>
      <c r="E3" s="32">
        <f>[2]leak!D2</f>
        <v>25.3234039116997</v>
      </c>
      <c r="F3" s="32">
        <f>[2]leak!E2</f>
        <v>26.725427188081301</v>
      </c>
      <c r="G3" s="32">
        <f>[2]leak!F2</f>
        <v>28.163800526872802</v>
      </c>
      <c r="H3" s="32">
        <f>[2]leak!G2</f>
        <v>29.6458973233892</v>
      </c>
      <c r="I3" s="32">
        <f>[2]leak!H2</f>
        <v>31.1587095725958</v>
      </c>
      <c r="J3" s="32">
        <f>[2]leak!I2</f>
        <v>32.692850335426797</v>
      </c>
      <c r="K3" s="32">
        <f>[2]leak!J2</f>
        <v>34.241644169298503</v>
      </c>
      <c r="L3" s="32">
        <f>[2]leak!K2</f>
        <v>35.790766768434601</v>
      </c>
      <c r="M3" s="32">
        <f>[2]leak!L2</f>
        <v>37.331535808242599</v>
      </c>
      <c r="N3" s="32">
        <f>[2]leak!M2</f>
        <v>38.852741453829204</v>
      </c>
      <c r="O3" s="32">
        <f>[2]leak!N2</f>
        <v>40.344225068850001</v>
      </c>
      <c r="P3" s="32">
        <f>[2]leak!O2</f>
        <v>41.802265674806002</v>
      </c>
      <c r="Q3" s="32">
        <f>[2]leak!P2</f>
        <v>43.220837249869902</v>
      </c>
      <c r="R3" s="32">
        <f>[2]leak!Q2</f>
        <v>44.6274539680769</v>
      </c>
      <c r="S3" s="32">
        <f>[2]leak!R2</f>
        <v>45.993909334113802</v>
      </c>
      <c r="T3" s="32">
        <f>[2]leak!S2</f>
        <v>47.314074199407102</v>
      </c>
      <c r="U3" s="32">
        <f>[2]leak!T2</f>
        <v>48.5096890074622</v>
      </c>
      <c r="V3" s="32">
        <f>[2]leak!U2</f>
        <v>49.637779056288203</v>
      </c>
      <c r="W3" s="32">
        <f>[2]leak!V2</f>
        <v>50.737535868545898</v>
      </c>
      <c r="X3" s="32">
        <f>[2]leak!W2</f>
        <v>51.776183327219698</v>
      </c>
      <c r="Y3" s="32">
        <f>[2]leak!X2</f>
        <v>52.764032466839197</v>
      </c>
    </row>
    <row r="4" spans="1:25" s="30" customFormat="1">
      <c r="A4" s="20" t="s">
        <v>22</v>
      </c>
      <c r="B4" s="32">
        <f>[3]leak!A2</f>
        <v>7.1914610417669103</v>
      </c>
      <c r="C4" s="32">
        <f>[3]leak!B2</f>
        <v>7.2472877067046602</v>
      </c>
      <c r="D4" s="32">
        <f>[3]leak!C2</f>
        <v>7.2614032637774102</v>
      </c>
      <c r="E4" s="32">
        <f>[3]leak!D2</f>
        <v>7.3231981231781198</v>
      </c>
      <c r="F4" s="32">
        <f>[3]leak!E2</f>
        <v>7.4206497051026998</v>
      </c>
      <c r="G4" s="32">
        <f>[3]leak!F2</f>
        <v>7.5388843385298001</v>
      </c>
      <c r="H4" s="32">
        <f>[3]leak!G2</f>
        <v>7.6756201879595798</v>
      </c>
      <c r="I4" s="32">
        <f>[3]leak!H2</f>
        <v>7.82726681708382</v>
      </c>
      <c r="J4" s="32">
        <f>[3]leak!I2</f>
        <v>7.9908562274581598</v>
      </c>
      <c r="K4" s="32">
        <f>[3]leak!J2</f>
        <v>8.1615094626619502</v>
      </c>
      <c r="L4" s="32">
        <f>[3]leak!K2</f>
        <v>8.3387545337100306</v>
      </c>
      <c r="M4" s="32">
        <f>[3]leak!L2</f>
        <v>8.5215390293291602</v>
      </c>
      <c r="N4" s="32">
        <f>[3]leak!M2</f>
        <v>8.70850270609807</v>
      </c>
      <c r="O4" s="32">
        <f>[3]leak!N2</f>
        <v>8.8983653520640296</v>
      </c>
      <c r="P4" s="32">
        <f>[3]leak!O2</f>
        <v>9.0870828100288996</v>
      </c>
      <c r="Q4" s="32">
        <f>[3]leak!P2</f>
        <v>9.2824131042027709</v>
      </c>
      <c r="R4" s="32">
        <f>[3]leak!Q2</f>
        <v>9.4817752915278195</v>
      </c>
      <c r="S4" s="32">
        <f>[3]leak!R2</f>
        <v>9.6833799177864499</v>
      </c>
      <c r="T4" s="32">
        <f>[3]leak!S2</f>
        <v>9.8858699240629893</v>
      </c>
      <c r="U4" s="32">
        <f>[3]leak!T2</f>
        <v>10.0640136788703</v>
      </c>
      <c r="V4" s="32">
        <f>[3]leak!U2</f>
        <v>10.2403448732054</v>
      </c>
      <c r="W4" s="32">
        <f>[3]leak!V2</f>
        <v>10.4181037764821</v>
      </c>
      <c r="X4" s="32">
        <f>[3]leak!W2</f>
        <v>10.5917588473412</v>
      </c>
      <c r="Y4" s="32">
        <f>[3]leak!X2</f>
        <v>10.7619194516219</v>
      </c>
    </row>
    <row r="5" spans="1:25" s="30" customFormat="1">
      <c r="A5" s="20" t="s">
        <v>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</row>
    <row r="6" spans="1:25">
      <c r="A6" s="23" t="s">
        <v>24</v>
      </c>
      <c r="B6" s="4">
        <f>[5]leak!A2</f>
        <v>31.0742211043708</v>
      </c>
      <c r="C6" s="4">
        <f>[5]leak!B2</f>
        <v>32.368770618381397</v>
      </c>
      <c r="D6" s="4">
        <f>[5]leak!C2</f>
        <v>33.395442510679104</v>
      </c>
      <c r="E6" s="4">
        <f>[5]leak!D2</f>
        <v>34.723966607864597</v>
      </c>
      <c r="F6" s="4">
        <f>[5]leak!E2</f>
        <v>36.187836134977999</v>
      </c>
      <c r="G6" s="4">
        <f>[5]leak!F2</f>
        <v>37.620247147068099</v>
      </c>
      <c r="H6" s="4">
        <f>[5]leak!G2</f>
        <v>39.064405977751498</v>
      </c>
      <c r="I6" s="4">
        <f>[5]leak!H2</f>
        <v>40.5043587524492</v>
      </c>
      <c r="J6" s="4">
        <f>[5]leak!I2</f>
        <v>41.934817992680998</v>
      </c>
      <c r="K6" s="4">
        <f>[5]leak!J2</f>
        <v>43.3517152248385</v>
      </c>
      <c r="L6" s="4">
        <f>[5]leak!K2</f>
        <v>44.741446207350002</v>
      </c>
      <c r="M6" s="4">
        <f>[5]leak!L2</f>
        <v>46.102552291063901</v>
      </c>
      <c r="N6" s="4">
        <f>[5]leak!M2</f>
        <v>47.425560886339802</v>
      </c>
      <c r="O6" s="4">
        <f>[5]leak!N2</f>
        <v>48.704634737952397</v>
      </c>
      <c r="P6" s="4">
        <f>[5]leak!O2</f>
        <v>49.935629875288399</v>
      </c>
      <c r="Q6" s="4">
        <f>[5]leak!P2</f>
        <v>51.102718204026303</v>
      </c>
      <c r="R6" s="4">
        <f>[5]leak!Q2</f>
        <v>52.274906290499899</v>
      </c>
      <c r="S6" s="4">
        <f>[5]leak!R2</f>
        <v>53.393765652594503</v>
      </c>
      <c r="T6" s="4">
        <f>[5]leak!S2</f>
        <v>54.460965531824897</v>
      </c>
      <c r="U6" s="4">
        <f>[5]leak!T2</f>
        <v>55.438885229203301</v>
      </c>
      <c r="V6" s="4">
        <f>[5]leak!U2</f>
        <v>56.337249505578697</v>
      </c>
      <c r="W6" s="4">
        <f>[5]leak!V2</f>
        <v>57.247941935735597</v>
      </c>
      <c r="X6" s="4">
        <f>[5]leak!W2</f>
        <v>58.084345082067799</v>
      </c>
      <c r="Y6" s="4">
        <f>[5]leak!X2</f>
        <v>58.889972946267797</v>
      </c>
    </row>
    <row r="7" spans="1:25">
      <c r="A7" s="23" t="s">
        <v>25</v>
      </c>
      <c r="B7" s="4">
        <f>[6]leak!A2</f>
        <v>9.8815920723486101</v>
      </c>
      <c r="C7" s="4">
        <f>[6]leak!B2</f>
        <v>15.2180136304219</v>
      </c>
      <c r="D7" s="4">
        <f>[6]leak!C2</f>
        <v>18.171812047742499</v>
      </c>
      <c r="E7" s="4">
        <f>[6]leak!D2</f>
        <v>20.450337580092601</v>
      </c>
      <c r="F7" s="4">
        <f>[6]leak!E2</f>
        <v>22.459505862067498</v>
      </c>
      <c r="G7" s="4">
        <f>[6]leak!F2</f>
        <v>24.303812238098502</v>
      </c>
      <c r="H7" s="4">
        <f>[6]leak!G2</f>
        <v>26.0661973523051</v>
      </c>
      <c r="I7" s="4">
        <f>[6]leak!H2</f>
        <v>27.7783392950255</v>
      </c>
      <c r="J7" s="4">
        <f>[6]leak!I2</f>
        <v>29.457193390894499</v>
      </c>
      <c r="K7" s="4">
        <f>[6]leak!J2</f>
        <v>31.1100737005507</v>
      </c>
      <c r="L7" s="4">
        <f>[6]leak!K2</f>
        <v>32.734736827735397</v>
      </c>
      <c r="M7" s="4">
        <f>[6]leak!L2</f>
        <v>34.331612532989602</v>
      </c>
      <c r="N7" s="4">
        <f>[6]leak!M2</f>
        <v>35.893307800947198</v>
      </c>
      <c r="O7" s="4">
        <f>[6]leak!N2</f>
        <v>37.413700176224602</v>
      </c>
      <c r="P7" s="4">
        <f>[6]leak!O2</f>
        <v>38.888936286139398</v>
      </c>
      <c r="Q7" s="4">
        <f>[6]leak!P2</f>
        <v>40.318243423796197</v>
      </c>
      <c r="R7" s="4">
        <f>[6]leak!Q2</f>
        <v>41.728094810910598</v>
      </c>
      <c r="S7" s="4">
        <f>[6]leak!R2</f>
        <v>43.092097948989597</v>
      </c>
      <c r="T7" s="4">
        <f>[6]leak!S2</f>
        <v>44.4065234815181</v>
      </c>
      <c r="U7" s="4">
        <f>[6]leak!T2</f>
        <v>45.598851933693602</v>
      </c>
      <c r="V7" s="4">
        <f>[6]leak!U2</f>
        <v>46.722456663233203</v>
      </c>
      <c r="W7" s="4">
        <f>[6]leak!V2</f>
        <v>47.814770511354702</v>
      </c>
      <c r="X7" s="4">
        <f>[6]leak!W2</f>
        <v>48.843741040215399</v>
      </c>
      <c r="Y7" s="4">
        <f>[6]leak!X2</f>
        <v>49.819825219896401</v>
      </c>
    </row>
    <row r="8" spans="1:25">
      <c r="A8" s="23" t="s">
        <v>26</v>
      </c>
      <c r="B8" s="4">
        <f>[7]leak!A2</f>
        <v>3.8499402021270699</v>
      </c>
      <c r="C8" s="4">
        <f>[7]leak!B2</f>
        <v>5.2948267045641204</v>
      </c>
      <c r="D8" s="4">
        <f>[7]leak!C2</f>
        <v>5.8418594485792701</v>
      </c>
      <c r="E8" s="4">
        <f>[7]leak!D2</f>
        <v>6.1894568827633396</v>
      </c>
      <c r="F8" s="4">
        <f>[7]leak!E2</f>
        <v>6.46880062239849</v>
      </c>
      <c r="G8" s="4">
        <f>[7]leak!F2</f>
        <v>6.7112356737416299</v>
      </c>
      <c r="H8" s="4">
        <f>[7]leak!G2</f>
        <v>6.9383467193297399</v>
      </c>
      <c r="I8" s="4">
        <f>[7]leak!H2</f>
        <v>7.1587674695242898</v>
      </c>
      <c r="J8" s="4">
        <f>[7]leak!I2</f>
        <v>7.3767182307374197</v>
      </c>
      <c r="K8" s="4">
        <f>[7]leak!J2</f>
        <v>7.5911783083526503</v>
      </c>
      <c r="L8" s="4">
        <f>[7]leak!K2</f>
        <v>7.8049027722486199</v>
      </c>
      <c r="M8" s="4">
        <f>[7]leak!L2</f>
        <v>8.0188416205004494</v>
      </c>
      <c r="N8" s="4">
        <f>[7]leak!M2</f>
        <v>8.2327761352713598</v>
      </c>
      <c r="O8" s="4">
        <f>[7]leak!N2</f>
        <v>8.4464265864626498</v>
      </c>
      <c r="P8" s="4">
        <f>[7]leak!O2</f>
        <v>8.6561629219084892</v>
      </c>
      <c r="Q8" s="4">
        <f>[7]leak!P2</f>
        <v>8.8706464070109892</v>
      </c>
      <c r="R8" s="4">
        <f>[7]leak!Q2</f>
        <v>9.0881392671246903</v>
      </c>
      <c r="S8" s="4">
        <f>[7]leak!R2</f>
        <v>9.3072179055358308</v>
      </c>
      <c r="T8" s="4">
        <f>[7]leak!S2</f>
        <v>9.5266093695626708</v>
      </c>
      <c r="U8" s="4">
        <f>[7]leak!T2</f>
        <v>9.7208800968598599</v>
      </c>
      <c r="V8" s="4">
        <f>[7]leak!U2</f>
        <v>9.9127109978122192</v>
      </c>
      <c r="W8" s="4">
        <f>[7]leak!V2</f>
        <v>10.106996548861099</v>
      </c>
      <c r="X8" s="4">
        <f>[7]leak!W2</f>
        <v>10.297430278013801</v>
      </c>
      <c r="Y8" s="4">
        <f>[7]leak!X2</f>
        <v>10.4850372853147</v>
      </c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activeCell="H7" sqref="H7"/>
    </sheetView>
  </sheetViews>
  <sheetFormatPr baseColWidth="10" defaultColWidth="9" defaultRowHeight="15"/>
  <cols>
    <col min="2" max="5" width="9.1640625" customWidth="1"/>
    <col min="6" max="6" width="9.83203125" customWidth="1"/>
    <col min="7" max="8" width="9.1640625" customWidth="1"/>
    <col min="9" max="9" width="9.83203125" customWidth="1"/>
    <col min="10" max="10" width="9.1640625" customWidth="1"/>
    <col min="11" max="11" width="9.83203125" customWidth="1"/>
  </cols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 s="30" customFormat="1">
      <c r="A2" s="20" t="s">
        <v>20</v>
      </c>
      <c r="B2" s="31">
        <f>[1]EXP!B25</f>
        <v>0.75288615221458199</v>
      </c>
      <c r="C2" s="31">
        <f>[1]EXP!C25</f>
        <v>0.302885110635565</v>
      </c>
      <c r="D2" s="31">
        <f>[1]EXP!D25</f>
        <v>0.62089062180827903</v>
      </c>
      <c r="E2" s="31">
        <f>[1]EXP!E25</f>
        <v>1.56997899203972</v>
      </c>
      <c r="F2" s="31">
        <f>[1]EXP!F25</f>
        <v>0.43838211798634702</v>
      </c>
      <c r="G2" s="31">
        <f>[1]EXP!G25</f>
        <v>0.34623362024197601</v>
      </c>
      <c r="H2" s="31">
        <f>[1]EXP!H25</f>
        <v>1.32053313466891</v>
      </c>
      <c r="I2" s="31">
        <f>[1]EXP!I25</f>
        <v>-2.6391362855599598</v>
      </c>
      <c r="J2" s="31">
        <f>[1]EXP!J25</f>
        <v>0.60828450519256905</v>
      </c>
      <c r="K2" s="31">
        <f>[1]EXP!K25</f>
        <v>0.75403127383788504</v>
      </c>
    </row>
    <row r="3" spans="1:11" s="30" customFormat="1">
      <c r="A3" s="20" t="s">
        <v>21</v>
      </c>
      <c r="B3" s="31">
        <f>[2]EXP!B25</f>
        <v>-0.180804149932179</v>
      </c>
      <c r="C3" s="31">
        <f>[2]EXP!C25</f>
        <v>-4.7196698286167099E-2</v>
      </c>
      <c r="D3" s="31">
        <f>[2]EXP!D25</f>
        <v>0.400632108406906</v>
      </c>
      <c r="E3" s="31">
        <f>[2]EXP!E25</f>
        <v>1.6684618914834199</v>
      </c>
      <c r="F3" s="31">
        <f>[2]EXP!F25</f>
        <v>-0.43825353199656902</v>
      </c>
      <c r="G3" s="31">
        <f>[2]EXP!G25</f>
        <v>-1.0729499204887201</v>
      </c>
      <c r="H3" s="31">
        <f>[2]EXP!H25</f>
        <v>1.3223514376482299</v>
      </c>
      <c r="I3" s="31">
        <f>[2]EXP!I25</f>
        <v>-2.15252085244293</v>
      </c>
      <c r="J3" s="31">
        <f>[2]EXP!J25</f>
        <v>-1.81449183421027</v>
      </c>
      <c r="K3" s="31">
        <f>[2]EXP!K25</f>
        <v>0.71199494571292399</v>
      </c>
    </row>
    <row r="4" spans="1:11" s="30" customFormat="1">
      <c r="A4" s="20" t="s">
        <v>22</v>
      </c>
      <c r="B4" s="31">
        <f>[3]EXP!B25</f>
        <v>1.58517544591501</v>
      </c>
      <c r="C4" s="31">
        <f>[3]EXP!C25</f>
        <v>-0.22284213798785499</v>
      </c>
      <c r="D4" s="31">
        <f>[3]EXP!D25</f>
        <v>-4.7190639414012496</v>
      </c>
      <c r="E4" s="31">
        <f>[3]EXP!E25</f>
        <v>-6.1467991443928396</v>
      </c>
      <c r="F4" s="31">
        <f>[3]EXP!F25</f>
        <v>-1.0154702204369801</v>
      </c>
      <c r="G4" s="31">
        <f>[3]EXP!G25</f>
        <v>-0.32667779372128602</v>
      </c>
      <c r="H4" s="31">
        <f>[3]EXP!H25</f>
        <v>1.3011085354710099</v>
      </c>
      <c r="I4" s="31">
        <f>[3]EXP!I25</f>
        <v>-1.7660536089877299</v>
      </c>
      <c r="J4" s="31">
        <f>[3]EXP!J25</f>
        <v>2.83059508561223E-3</v>
      </c>
      <c r="K4" s="31">
        <f>[3]EXP!K25</f>
        <v>4.0375257534463999E-2</v>
      </c>
    </row>
    <row r="5" spans="1:11" s="30" customFormat="1">
      <c r="A5" s="20" t="s">
        <v>23</v>
      </c>
      <c r="B5" s="31">
        <f>[4]EXP!B25</f>
        <v>2.3302714238647302</v>
      </c>
      <c r="C5" s="31">
        <f>[4]EXP!C25</f>
        <v>1.0814751262462801</v>
      </c>
      <c r="D5" s="31">
        <f>[4]EXP!D25</f>
        <v>-4.2426016626958001</v>
      </c>
      <c r="E5" s="31">
        <f>[4]EXP!E25</f>
        <v>-5.18834914003157</v>
      </c>
      <c r="F5" s="31">
        <f>[4]EXP!F25</f>
        <v>-0.79311566993934801</v>
      </c>
      <c r="G5" s="31">
        <f>[4]EXP!G25</f>
        <v>-0.117594395107834</v>
      </c>
      <c r="H5" s="31">
        <f>[4]EXP!H25</f>
        <v>3.6088664170007099</v>
      </c>
      <c r="I5" s="31">
        <f>[4]EXP!I25</f>
        <v>-1.554661234024</v>
      </c>
      <c r="J5" s="31">
        <f>[4]EXP!J25</f>
        <v>0.52331202314155301</v>
      </c>
      <c r="K5" s="31">
        <f>[4]EXP!K25</f>
        <v>-0.91098033860882399</v>
      </c>
    </row>
    <row r="6" spans="1:11">
      <c r="A6" s="23" t="s">
        <v>24</v>
      </c>
      <c r="B6" s="27">
        <f>[5]EXP!B25</f>
        <v>0.45741845555229399</v>
      </c>
      <c r="C6" s="27">
        <f>[5]EXP!C25</f>
        <v>-0.85243432089898696</v>
      </c>
      <c r="D6" s="27">
        <f>[5]EXP!D25</f>
        <v>-0.238376643300553</v>
      </c>
      <c r="E6" s="27">
        <f>[5]EXP!E25</f>
        <v>1.0552705043955799</v>
      </c>
      <c r="F6" s="27">
        <f>[5]EXP!F25</f>
        <v>0.123972582383303</v>
      </c>
      <c r="G6" s="27">
        <f>[5]EXP!G25</f>
        <v>-0.80472221642548003</v>
      </c>
      <c r="H6" s="27">
        <f>[5]EXP!H25</f>
        <v>0.77844623195710805</v>
      </c>
      <c r="I6" s="27">
        <f>[5]EXP!I25</f>
        <v>-10.306980685865</v>
      </c>
      <c r="J6" s="27">
        <f>[5]EXP!J25</f>
        <v>-2.1592294497289801</v>
      </c>
      <c r="K6" s="27">
        <f>[5]EXP!K25</f>
        <v>-0.33121656671185601</v>
      </c>
    </row>
    <row r="7" spans="1:11">
      <c r="A7" s="23" t="s">
        <v>25</v>
      </c>
      <c r="B7" s="27">
        <f>[6]EXP!B25</f>
        <v>0.28345104875302501</v>
      </c>
      <c r="C7" s="27">
        <f>[6]EXP!C25</f>
        <v>-2.8496562723666501</v>
      </c>
      <c r="D7" s="27">
        <f>[6]EXP!D25</f>
        <v>-4.3679343752942801</v>
      </c>
      <c r="E7" s="27">
        <f>[6]EXP!E25</f>
        <v>-0.74390789687404102</v>
      </c>
      <c r="F7" s="27">
        <f>[6]EXP!F25</f>
        <v>-10.4134026974936</v>
      </c>
      <c r="G7" s="27">
        <f>[6]EXP!G25</f>
        <v>-6.3033220288575098</v>
      </c>
      <c r="H7" s="27">
        <f>[6]EXP!H25</f>
        <v>-0.72205477042199795</v>
      </c>
      <c r="I7" s="27">
        <f>[6]EXP!I25</f>
        <v>-5.6603661723198204</v>
      </c>
      <c r="J7" s="27">
        <f>[6]EXP!J25</f>
        <v>-5.93769440111872</v>
      </c>
      <c r="K7" s="27">
        <f>[6]EXP!K25</f>
        <v>-3.64322593649627</v>
      </c>
    </row>
    <row r="8" spans="1:11">
      <c r="A8" s="23" t="s">
        <v>26</v>
      </c>
      <c r="B8" s="27">
        <f>[7]EXP!B25</f>
        <v>1.62288170295664</v>
      </c>
      <c r="C8" s="27">
        <f>[7]EXP!C25</f>
        <v>-4.8916181267783001</v>
      </c>
      <c r="D8" s="27">
        <f>[7]EXP!D25</f>
        <v>-8.1964823383006493</v>
      </c>
      <c r="E8" s="27">
        <f>[7]EXP!E25</f>
        <v>-8.0903430021818696</v>
      </c>
      <c r="F8" s="27">
        <f>[7]EXP!F25</f>
        <v>-0.73281929985637995</v>
      </c>
      <c r="G8" s="27">
        <f>[7]EXP!G25</f>
        <v>-1.5592146522073</v>
      </c>
      <c r="H8" s="27">
        <f>[7]EXP!H25</f>
        <v>-3.5605922673493802</v>
      </c>
      <c r="I8" s="27">
        <f>[7]EXP!I25</f>
        <v>-3.0904714949353602</v>
      </c>
      <c r="J8" s="27">
        <f>[7]EXP!J25</f>
        <v>-1.18245154632645</v>
      </c>
      <c r="K8" s="27">
        <f>[7]EXP!K25</f>
        <v>-13.144779524906101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>
      <selection activeCell="B6" sqref="B6"/>
    </sheetView>
  </sheetViews>
  <sheetFormatPr baseColWidth="10" defaultColWidth="9" defaultRowHeight="15"/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>
      <c r="A2" s="24" t="s">
        <v>41</v>
      </c>
      <c r="B2" s="25">
        <f>[1]IMP!B25</f>
        <v>-0.43235337694528297</v>
      </c>
      <c r="C2" s="25">
        <f>[1]IMP!C25</f>
        <v>-3.19193712556164</v>
      </c>
      <c r="D2" s="25">
        <f>[1]IMP!D25</f>
        <v>2.2025123210951598</v>
      </c>
      <c r="E2" s="25">
        <f>[1]IMP!E25</f>
        <v>4.1709975361712699</v>
      </c>
      <c r="F2" s="25">
        <f>[1]IMP!F25</f>
        <v>0.49897894917554397</v>
      </c>
      <c r="G2" s="25">
        <f>[1]IMP!G25</f>
        <v>-9.1020671474317805E-2</v>
      </c>
      <c r="H2" s="25">
        <f>[1]IMP!H25</f>
        <v>-1.1794159970479901</v>
      </c>
      <c r="I2" s="25">
        <f>[1]IMP!I25</f>
        <v>-2.4887019809490298</v>
      </c>
      <c r="J2" s="25">
        <f>[1]IMP!J25</f>
        <v>-0.214336383821356</v>
      </c>
      <c r="K2" s="25">
        <f>[1]IMP!K25</f>
        <v>0.44193064460009701</v>
      </c>
    </row>
    <row r="3" spans="1:11">
      <c r="A3" s="24" t="s">
        <v>42</v>
      </c>
      <c r="B3" s="26">
        <f>[9]IMP!B25</f>
        <v>-0.44693530319632702</v>
      </c>
      <c r="C3" s="26">
        <f>[9]IMP!C25</f>
        <v>-4.9566994676574003</v>
      </c>
      <c r="D3" s="26">
        <f>[9]IMP!D25</f>
        <v>2.1114904317328</v>
      </c>
      <c r="E3" s="26">
        <f>[9]IMP!E25</f>
        <v>4.5033896801111704</v>
      </c>
      <c r="F3" s="26">
        <f>[9]IMP!F25</f>
        <v>0.65992700539090299</v>
      </c>
      <c r="G3" s="26">
        <f>[9]IMP!G25</f>
        <v>-0.11278046083667</v>
      </c>
      <c r="H3" s="26">
        <f>[9]IMP!H25</f>
        <v>-2.1528202155875702</v>
      </c>
      <c r="I3" s="26">
        <f>[9]IMP!I25</f>
        <v>-1.9325144459929799</v>
      </c>
      <c r="J3" s="26">
        <f>[9]IMP!J25</f>
        <v>-2.6162523015681902</v>
      </c>
      <c r="K3" s="26">
        <f>[9]IMP!K25</f>
        <v>0.42860821907444402</v>
      </c>
    </row>
    <row r="4" spans="1:11">
      <c r="A4" s="24" t="s">
        <v>81</v>
      </c>
      <c r="B4" s="26">
        <f>[10]IMP!B25</f>
        <v>-2.0981495199482301</v>
      </c>
      <c r="C4" s="26">
        <f>[10]IMP!C25</f>
        <v>-4.9981786539503901</v>
      </c>
      <c r="D4" s="26">
        <f>[10]IMP!D25</f>
        <v>2.1041909912447498</v>
      </c>
      <c r="E4" s="26">
        <f>[10]IMP!E25</f>
        <v>4.5481886838185899</v>
      </c>
      <c r="F4" s="26">
        <f>[10]IMP!F25</f>
        <v>0.67193532082396901</v>
      </c>
      <c r="G4" s="26">
        <f>[10]IMP!G25</f>
        <v>-0.30430343410306998</v>
      </c>
      <c r="H4" s="26">
        <f>[10]IMP!H25</f>
        <v>-2.1824784038330298</v>
      </c>
      <c r="I4" s="26">
        <f>[10]IMP!I25</f>
        <v>-1.88270479549145</v>
      </c>
      <c r="J4" s="26">
        <f>[10]IMP!J25</f>
        <v>-2.5870711771522799</v>
      </c>
      <c r="K4" s="26">
        <f>[10]IMP!K25</f>
        <v>0.451616357002038</v>
      </c>
    </row>
    <row r="5" spans="1:11">
      <c r="A5" s="24" t="s">
        <v>82</v>
      </c>
      <c r="B5" s="25">
        <f>[2]IMP!B25</f>
        <v>-1.78004481678612</v>
      </c>
      <c r="C5" s="25">
        <f>[2]IMP!C25</f>
        <v>-6.2228358672285298</v>
      </c>
      <c r="D5" s="25">
        <f>[2]IMP!D25</f>
        <v>2.0601853111786599</v>
      </c>
      <c r="E5" s="25">
        <f>[2]IMP!E25</f>
        <v>5.0507780579141404</v>
      </c>
      <c r="F5" s="25">
        <f>[2]IMP!F25</f>
        <v>-0.61910670774038001</v>
      </c>
      <c r="G5" s="25">
        <f>[2]IMP!G25</f>
        <v>-1.15990972075244</v>
      </c>
      <c r="H5" s="25">
        <f>[2]IMP!H25</f>
        <v>-2.7670068806937702</v>
      </c>
      <c r="I5" s="25">
        <f>[2]IMP!I25</f>
        <v>-1.4790395147700299</v>
      </c>
      <c r="J5" s="25">
        <f>[2]IMP!J25</f>
        <v>-2.3814428008613899</v>
      </c>
      <c r="K5" s="25">
        <f>[2]IMP!K25</f>
        <v>0.56819628396333999</v>
      </c>
    </row>
    <row r="6" spans="1:11">
      <c r="A6" s="24" t="s">
        <v>83</v>
      </c>
      <c r="B6" s="25">
        <f>[11]IMP!B25</f>
        <v>-1.74520813714353</v>
      </c>
      <c r="C6" s="25">
        <f>[11]IMP!C25</f>
        <v>-6.4201392376459498</v>
      </c>
      <c r="D6" s="25">
        <f>[11]IMP!D25</f>
        <v>2.0716229701747402</v>
      </c>
      <c r="E6" s="25">
        <f>[11]IMP!E25</f>
        <v>5.1070056497545302</v>
      </c>
      <c r="F6" s="25">
        <f>[11]IMP!F25</f>
        <v>-1.7608573445964</v>
      </c>
      <c r="G6" s="25">
        <f>[11]IMP!G25</f>
        <v>-1.1315705953431801</v>
      </c>
      <c r="H6" s="25">
        <f>[11]IMP!H25</f>
        <v>-2.88586203627648</v>
      </c>
      <c r="I6" s="25">
        <f>[11]IMP!I25</f>
        <v>-1.43167247773063</v>
      </c>
      <c r="J6" s="25">
        <f>[11]IMP!J25</f>
        <v>-2.3539306385259402</v>
      </c>
      <c r="K6" s="25">
        <f>[11]IMP!K25</f>
        <v>0.58111169155541398</v>
      </c>
    </row>
    <row r="7" spans="1:11">
      <c r="A7" s="24" t="s">
        <v>84</v>
      </c>
      <c r="B7" s="25">
        <f>[12]IMP!B25</f>
        <v>-1.9031199960399601</v>
      </c>
      <c r="C7" s="25">
        <f>[12]IMP!C25</f>
        <v>-10.6457268241357</v>
      </c>
      <c r="D7" s="25">
        <f>[12]IMP!D25</f>
        <v>-1.6574492694558101</v>
      </c>
      <c r="E7" s="25">
        <f>[12]IMP!E25</f>
        <v>7.2978360034070802</v>
      </c>
      <c r="F7" s="25">
        <f>[12]IMP!F25</f>
        <v>-1.26021490941827</v>
      </c>
      <c r="G7" s="25">
        <f>[12]IMP!G25</f>
        <v>-1.04516989848633</v>
      </c>
      <c r="H7" s="25">
        <f>[12]IMP!H25</f>
        <v>-5.7449418200234899</v>
      </c>
      <c r="I7" s="25">
        <f>[12]IMP!I25</f>
        <v>-0.803434786096346</v>
      </c>
      <c r="J7" s="25">
        <f>[12]IMP!J25</f>
        <v>-1.8409762013919799</v>
      </c>
      <c r="K7" s="25">
        <f>[12]IMP!K25</f>
        <v>-0.51354428635582705</v>
      </c>
    </row>
    <row r="8" spans="1:11">
      <c r="A8" s="24" t="s">
        <v>85</v>
      </c>
      <c r="B8" s="25">
        <f>[3]IMP!B25</f>
        <v>-2.0138625550703</v>
      </c>
      <c r="C8" s="25">
        <f>[3]IMP!C25</f>
        <v>-12.772980453447699</v>
      </c>
      <c r="D8" s="25">
        <f>[3]IMP!D25</f>
        <v>-0.55600944824383303</v>
      </c>
      <c r="E8" s="25">
        <f>[3]IMP!E25</f>
        <v>1.2037652814586</v>
      </c>
      <c r="F8" s="25">
        <f>[3]IMP!F25</f>
        <v>-1.0371803420752299</v>
      </c>
      <c r="G8" s="25">
        <f>[3]IMP!G25</f>
        <v>-0.99050753022945603</v>
      </c>
      <c r="H8" s="25">
        <f>[3]IMP!H25</f>
        <v>-8.0851740518517197</v>
      </c>
      <c r="I8" s="25">
        <f>[3]IMP!I25</f>
        <v>-0.46322907901757998</v>
      </c>
      <c r="J8" s="25">
        <f>[3]IMP!J25</f>
        <v>-1.5809856118662899</v>
      </c>
      <c r="K8" s="25">
        <f>[3]IMP!K25</f>
        <v>-0.59393433157224296</v>
      </c>
    </row>
    <row r="9" spans="1:11">
      <c r="A9" s="24" t="s">
        <v>86</v>
      </c>
      <c r="B9" s="25">
        <f>[4]IMP!B25</f>
        <v>-2.1759696041977801</v>
      </c>
      <c r="C9" s="25">
        <f>[4]IMP!C25</f>
        <v>-14.459309369337699</v>
      </c>
      <c r="D9" s="25">
        <f>[4]IMP!D25</f>
        <v>0.320067630695475</v>
      </c>
      <c r="E9" s="25">
        <f>[4]IMP!E25</f>
        <v>3.57177403757498</v>
      </c>
      <c r="F9" s="25">
        <f>[4]IMP!F25</f>
        <v>-0.35431814213813301</v>
      </c>
      <c r="G9" s="25">
        <f>[4]IMP!G25</f>
        <v>-1.0095736405158799</v>
      </c>
      <c r="H9" s="25">
        <f>[4]IMP!H25</f>
        <v>-8.3777692833319595</v>
      </c>
      <c r="I9" s="25">
        <f>[4]IMP!I25</f>
        <v>0.425947481065303</v>
      </c>
      <c r="J9" s="25">
        <f>[4]IMP!J25</f>
        <v>-1.16229765339311</v>
      </c>
      <c r="K9" s="25">
        <f>[4]IMP!K25</f>
        <v>-1.1986707334636399</v>
      </c>
    </row>
    <row r="10" spans="1:11">
      <c r="A10" t="s">
        <v>45</v>
      </c>
      <c r="B10" s="27">
        <f>[5]IMP!B25</f>
        <v>-0.245710300107327</v>
      </c>
      <c r="C10" s="27">
        <f>[5]IMP!C25</f>
        <v>-2.9877828575045302</v>
      </c>
      <c r="D10" s="27">
        <f>[5]IMP!D25</f>
        <v>1.8956760153468999</v>
      </c>
      <c r="E10" s="27">
        <f>[5]IMP!E25</f>
        <v>4.16866087357237</v>
      </c>
      <c r="F10" s="27">
        <f>[5]IMP!F25</f>
        <v>0.70161495875955504</v>
      </c>
      <c r="G10" s="27">
        <f>[5]IMP!G25</f>
        <v>-0.37255001353332401</v>
      </c>
      <c r="H10" s="27">
        <f>[5]IMP!H25</f>
        <v>-1.1628519316450801</v>
      </c>
      <c r="I10" s="27">
        <f>[5]IMP!I25</f>
        <v>-18.192899855529099</v>
      </c>
      <c r="J10" s="27">
        <f>[5]IMP!J25</f>
        <v>-1.0603762781510699</v>
      </c>
      <c r="K10" s="27">
        <f>[5]IMP!K25</f>
        <v>0.14056725541391499</v>
      </c>
    </row>
    <row r="11" spans="1:11">
      <c r="A11" t="s">
        <v>46</v>
      </c>
      <c r="B11" s="28">
        <f>[13]IMP!B25</f>
        <v>-0.45665736526138101</v>
      </c>
      <c r="C11" s="28">
        <f>[13]IMP!C25</f>
        <v>-5.69792549041098</v>
      </c>
      <c r="D11" s="28">
        <f>[13]IMP!D25</f>
        <v>0.68989750793808602</v>
      </c>
      <c r="E11" s="28">
        <f>[13]IMP!E25</f>
        <v>4.0919465507161403</v>
      </c>
      <c r="F11" s="28">
        <f>[13]IMP!F25</f>
        <v>1.1018577079702701</v>
      </c>
      <c r="G11" s="28">
        <f>[13]IMP!G25</f>
        <v>-1.39804402436431</v>
      </c>
      <c r="H11" s="28">
        <f>[13]IMP!H25</f>
        <v>-2.5104841164282599</v>
      </c>
      <c r="I11" s="28">
        <f>[13]IMP!I25</f>
        <v>-11.538270775892199</v>
      </c>
      <c r="J11" s="28">
        <f>[13]IMP!J25</f>
        <v>-12.2459337981698</v>
      </c>
      <c r="K11" s="28">
        <f>[13]IMP!K25</f>
        <v>-0.79547158538719698</v>
      </c>
    </row>
    <row r="12" spans="1:11">
      <c r="A12" t="s">
        <v>87</v>
      </c>
      <c r="B12" s="29">
        <f>[14]IMP!B25</f>
        <v>-13.536541832909499</v>
      </c>
      <c r="C12" s="29">
        <f>[14]IMP!C25</f>
        <v>-5.7706804962916998</v>
      </c>
      <c r="D12" s="29">
        <f>[14]IMP!D25</f>
        <v>0.63580697055336499</v>
      </c>
      <c r="E12" s="29">
        <f>[14]IMP!E25</f>
        <v>4.1594877760623401</v>
      </c>
      <c r="F12" s="29">
        <f>[14]IMP!F25</f>
        <v>1.35874804310119</v>
      </c>
      <c r="G12" s="29">
        <f>[14]IMP!G25</f>
        <v>-2.48481282665258</v>
      </c>
      <c r="H12" s="29">
        <f>[14]IMP!H25</f>
        <v>-2.52597567863894</v>
      </c>
      <c r="I12" s="29">
        <f>[14]IMP!I25</f>
        <v>-11.1768594708895</v>
      </c>
      <c r="J12" s="29">
        <f>[14]IMP!J25</f>
        <v>-11.903496802935599</v>
      </c>
      <c r="K12" s="29">
        <f>[14]IMP!K25</f>
        <v>-0.783908492548679</v>
      </c>
    </row>
    <row r="13" spans="1:11">
      <c r="A13" t="s">
        <v>88</v>
      </c>
      <c r="B13" s="27">
        <f>[6]IMP!B25</f>
        <v>-2.04069400067088</v>
      </c>
      <c r="C13" s="27">
        <f>[6]IMP!C25</f>
        <v>-6.7812799178427303</v>
      </c>
      <c r="D13" s="27">
        <f>[6]IMP!D25</f>
        <v>-0.72009056249262604</v>
      </c>
      <c r="E13" s="27">
        <f>[6]IMP!E25</f>
        <v>3.7903299912666699</v>
      </c>
      <c r="F13" s="27">
        <f>[6]IMP!F25</f>
        <v>-8.2573132500449198</v>
      </c>
      <c r="G13" s="27">
        <f>[6]IMP!G25</f>
        <v>-9.0594966271198203</v>
      </c>
      <c r="H13" s="27">
        <f>[6]IMP!H25</f>
        <v>-3.2119706505854699</v>
      </c>
      <c r="I13" s="27">
        <f>[6]IMP!I25</f>
        <v>-7.9673129014951902</v>
      </c>
      <c r="J13" s="27">
        <f>[6]IMP!J25</f>
        <v>-9.5063032040205808</v>
      </c>
      <c r="K13" s="27">
        <f>[6]IMP!K25</f>
        <v>-1.8398930912457701</v>
      </c>
    </row>
    <row r="14" spans="1:11">
      <c r="A14" t="s">
        <v>89</v>
      </c>
      <c r="B14" s="27">
        <f>[15]IMP!B25</f>
        <v>-2.4252181583139598</v>
      </c>
      <c r="C14" s="27">
        <f>[15]IMP!C25</f>
        <v>-7.0044860321623297</v>
      </c>
      <c r="D14" s="27">
        <f>[15]IMP!D25</f>
        <v>-1.1123381114742299</v>
      </c>
      <c r="E14" s="27">
        <f>[15]IMP!E25</f>
        <v>3.6359515198143999</v>
      </c>
      <c r="F14" s="27">
        <f>[15]IMP!F25</f>
        <v>-1.6278052047838301</v>
      </c>
      <c r="G14" s="27">
        <f>[15]IMP!G25</f>
        <v>-7.2233364259925201</v>
      </c>
      <c r="H14" s="27">
        <f>[15]IMP!H25</f>
        <v>-3.3249121308288898</v>
      </c>
      <c r="I14" s="27">
        <f>[15]IMP!I25</f>
        <v>-7.86828047109113</v>
      </c>
      <c r="J14" s="27">
        <f>[15]IMP!J25</f>
        <v>-9.5088399551669394</v>
      </c>
      <c r="K14" s="27">
        <f>[15]IMP!K25</f>
        <v>-2.1226782528702102</v>
      </c>
    </row>
    <row r="15" spans="1:11">
      <c r="A15" t="s">
        <v>90</v>
      </c>
      <c r="B15" s="27">
        <f>[8]IMP!B25</f>
        <v>-1.96108132689199</v>
      </c>
      <c r="C15" s="27">
        <f>[8]IMP!C25</f>
        <v>-12.463310105825901</v>
      </c>
      <c r="D15" s="27">
        <f>[8]IMP!D25</f>
        <v>-8.0868114046801995</v>
      </c>
      <c r="E15" s="27">
        <f>[8]IMP!E25</f>
        <v>4.8863658830572003</v>
      </c>
      <c r="F15" s="27">
        <f>[8]IMP!F25</f>
        <v>-1.29051334827102</v>
      </c>
      <c r="G15" s="27">
        <f>[8]IMP!G25</f>
        <v>-3.75334884292735</v>
      </c>
      <c r="H15" s="27">
        <f>[8]IMP!H25</f>
        <v>-7.1887015931092302</v>
      </c>
      <c r="I15" s="27">
        <f>[8]IMP!I25</f>
        <v>-4.1633779639727599</v>
      </c>
      <c r="J15" s="27">
        <f>[8]IMP!J25</f>
        <v>-4.6762147274194996</v>
      </c>
      <c r="K15" s="27">
        <f>[8]IMP!K25</f>
        <v>-9.5109730266250203</v>
      </c>
    </row>
    <row r="16" spans="1:11">
      <c r="A16" t="s">
        <v>91</v>
      </c>
      <c r="B16" s="27">
        <f>[7]IMP!B25</f>
        <v>-2.02559640441461</v>
      </c>
      <c r="C16" s="27">
        <f>[7]IMP!C25</f>
        <v>-15.1407199949805</v>
      </c>
      <c r="D16" s="27">
        <f>[7]IMP!D25</f>
        <v>-6.0736187625604403</v>
      </c>
      <c r="E16" s="27">
        <f>[7]IMP!E25</f>
        <v>-2.5359471204211901</v>
      </c>
      <c r="F16" s="27">
        <f>[7]IMP!F25</f>
        <v>-0.80007116827802705</v>
      </c>
      <c r="G16" s="27">
        <f>[7]IMP!G25</f>
        <v>-2.8373541774907101</v>
      </c>
      <c r="H16" s="27">
        <f>[7]IMP!H25</f>
        <v>-10.7465552550679</v>
      </c>
      <c r="I16" s="27">
        <f>[7]IMP!I25</f>
        <v>-3.0507994401334702</v>
      </c>
      <c r="J16" s="27">
        <f>[7]IMP!J25</f>
        <v>-3.5624016939311298</v>
      </c>
      <c r="K16" s="27">
        <f>[7]IMP!K25</f>
        <v>-10.775094587977801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selection activeCell="D13" sqref="D13"/>
    </sheetView>
  </sheetViews>
  <sheetFormatPr baseColWidth="10" defaultColWidth="9.1640625" defaultRowHeight="15"/>
  <cols>
    <col min="4" max="4" width="9.33203125"/>
  </cols>
  <sheetData>
    <row r="1" spans="1:4" ht="46">
      <c r="A1" s="19"/>
      <c r="B1" s="12" t="s">
        <v>92</v>
      </c>
      <c r="C1" s="12" t="s">
        <v>93</v>
      </c>
      <c r="D1" s="11" t="s">
        <v>94</v>
      </c>
    </row>
    <row r="2" spans="1:4">
      <c r="A2" s="20" t="s">
        <v>20</v>
      </c>
      <c r="B2" s="21">
        <v>3.61775073373094E-2</v>
      </c>
      <c r="C2" s="3">
        <v>-0.32408286633512901</v>
      </c>
      <c r="D2" s="22">
        <f>B2/C2</f>
        <v>-0.111630422633632</v>
      </c>
    </row>
    <row r="3" spans="1:4">
      <c r="A3" s="20" t="s">
        <v>21</v>
      </c>
      <c r="B3" s="21">
        <v>-5.1924351505527898E-2</v>
      </c>
      <c r="C3" s="3">
        <v>-1.4359685410771701</v>
      </c>
      <c r="D3" s="22">
        <f t="shared" ref="D3:D8" si="0">B3/C3</f>
        <v>3.6159811319109801E-2</v>
      </c>
    </row>
    <row r="4" spans="1:4">
      <c r="A4" s="20" t="s">
        <v>22</v>
      </c>
      <c r="B4" s="21">
        <v>-0.63109799335726602</v>
      </c>
      <c r="C4" s="3">
        <v>-13.498685400583099</v>
      </c>
      <c r="D4" s="22">
        <f t="shared" si="0"/>
        <v>4.6752552165561602E-2</v>
      </c>
    </row>
    <row r="5" spans="1:4">
      <c r="A5" s="20" t="s">
        <v>23</v>
      </c>
      <c r="B5" s="21">
        <v>-0.68742514565782697</v>
      </c>
      <c r="C5" s="3">
        <v>-17.623632109119502</v>
      </c>
      <c r="D5" s="22">
        <f t="shared" si="0"/>
        <v>3.9005872421843897E-2</v>
      </c>
    </row>
    <row r="6" spans="1:4">
      <c r="A6" s="23" t="s">
        <v>24</v>
      </c>
      <c r="B6" s="21">
        <v>-2.0387383300357598E-2</v>
      </c>
      <c r="C6" s="3">
        <v>-0.33817075516928702</v>
      </c>
      <c r="D6" s="22">
        <f t="shared" si="0"/>
        <v>6.0287245389246499E-2</v>
      </c>
    </row>
    <row r="7" spans="1:4">
      <c r="A7" s="23" t="s">
        <v>25</v>
      </c>
      <c r="B7" s="21">
        <v>-0.23820999890476999</v>
      </c>
      <c r="C7" s="3">
        <v>-1.65725753195669</v>
      </c>
      <c r="D7" s="22">
        <f t="shared" si="0"/>
        <v>0.143737466453702</v>
      </c>
    </row>
    <row r="8" spans="1:4">
      <c r="A8" s="23" t="s">
        <v>26</v>
      </c>
      <c r="B8" s="21">
        <v>-0.87201671992834795</v>
      </c>
      <c r="C8" s="3">
        <v>-13.9389777575193</v>
      </c>
      <c r="D8" s="22">
        <f t="shared" si="0"/>
        <v>6.25595890242341E-2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K7"/>
  <sheetViews>
    <sheetView workbookViewId="0">
      <selection activeCell="C38" sqref="C38"/>
    </sheetView>
  </sheetViews>
  <sheetFormatPr baseColWidth="10" defaultColWidth="9" defaultRowHeight="15"/>
  <sheetData>
    <row r="5" spans="1:11" ht="30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  <c r="I5" s="16" t="s">
        <v>103</v>
      </c>
      <c r="J5" s="16" t="s">
        <v>104</v>
      </c>
    </row>
    <row r="6" spans="1:11">
      <c r="A6" s="17">
        <v>666</v>
      </c>
      <c r="B6" s="17">
        <v>1786</v>
      </c>
      <c r="C6" s="17">
        <v>15457</v>
      </c>
      <c r="D6" s="17">
        <v>4152</v>
      </c>
      <c r="E6" s="17">
        <v>535</v>
      </c>
      <c r="F6" s="17">
        <v>5555</v>
      </c>
      <c r="G6" s="17">
        <v>3332</v>
      </c>
      <c r="H6" s="17">
        <v>3263</v>
      </c>
      <c r="I6" s="17">
        <v>3096</v>
      </c>
      <c r="J6" s="17">
        <v>6641</v>
      </c>
      <c r="K6">
        <f>SUM(A6:J6)</f>
        <v>44483</v>
      </c>
    </row>
    <row r="7" spans="1:11">
      <c r="A7" s="18">
        <f t="shared" ref="A7:J7" si="0">A6/$K$6</f>
        <v>1.4972011779781001E-2</v>
      </c>
      <c r="B7" s="18">
        <f t="shared" si="0"/>
        <v>4.0150169727761198E-2</v>
      </c>
      <c r="C7" s="18">
        <f t="shared" si="0"/>
        <v>0.34748106018029401</v>
      </c>
      <c r="D7" s="18">
        <f t="shared" si="0"/>
        <v>9.33390283928692E-2</v>
      </c>
      <c r="E7" s="18">
        <f t="shared" si="0"/>
        <v>1.20270665197941E-2</v>
      </c>
      <c r="F7" s="18">
        <f t="shared" si="0"/>
        <v>0.12487916732234799</v>
      </c>
      <c r="G7" s="18">
        <f t="shared" si="0"/>
        <v>7.4905019895240899E-2</v>
      </c>
      <c r="H7" s="18">
        <f t="shared" si="0"/>
        <v>7.3353865521659997E-2</v>
      </c>
      <c r="I7" s="18">
        <f t="shared" si="0"/>
        <v>6.9599622327630797E-2</v>
      </c>
      <c r="J7" s="18">
        <f t="shared" si="0"/>
        <v>0.149292988332621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"/>
  <sheetViews>
    <sheetView workbookViewId="0">
      <selection activeCell="K6" sqref="A1:K6"/>
    </sheetView>
  </sheetViews>
  <sheetFormatPr baseColWidth="10" defaultColWidth="9.1640625" defaultRowHeight="15"/>
  <cols>
    <col min="1" max="1" width="18.33203125" customWidth="1"/>
    <col min="2" max="3" width="9.5"/>
    <col min="4" max="5" width="10.5"/>
    <col min="6" max="6" width="9.5"/>
    <col min="7" max="7" width="10.5"/>
    <col min="8" max="8" width="9.5"/>
    <col min="9" max="11" width="10.5"/>
    <col min="14" max="14" width="9.1640625" style="15"/>
  </cols>
  <sheetData>
    <row r="1" spans="1:14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  <c r="M1" s="15"/>
      <c r="N1"/>
    </row>
    <row r="2" spans="1:14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  <c r="M2" s="15"/>
      <c r="N2"/>
    </row>
    <row r="3" spans="1:14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  <c r="M3" s="15"/>
      <c r="N3"/>
    </row>
    <row r="4" spans="1:14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  <c r="M4" s="15"/>
      <c r="N4"/>
    </row>
    <row r="5" spans="1:14">
      <c r="A5" t="s">
        <v>111</v>
      </c>
      <c r="B5" s="3">
        <f>B3/B4</f>
        <v>0.32342466824336003</v>
      </c>
      <c r="C5" s="3">
        <f t="shared" ref="C5:K5" si="0">C3/C4</f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4">
      <c r="A6" t="s">
        <v>112</v>
      </c>
      <c r="B6" s="4">
        <f>B3/B2</f>
        <v>18.396066247786401</v>
      </c>
      <c r="C6" s="4">
        <f t="shared" ref="C6:K6" si="1">C3/C2</f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6"/>
  <sheetViews>
    <sheetView workbookViewId="0">
      <selection activeCell="L26" sqref="L26"/>
    </sheetView>
  </sheetViews>
  <sheetFormatPr baseColWidth="10" defaultColWidth="9.1640625" defaultRowHeight="15"/>
  <sheetData>
    <row r="1" spans="1:18" ht="31">
      <c r="A1" s="5"/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 t="s">
        <v>113</v>
      </c>
      <c r="K1" s="6" t="s">
        <v>114</v>
      </c>
    </row>
    <row r="2" spans="1:18" ht="16">
      <c r="A2" s="7" t="s">
        <v>115</v>
      </c>
      <c r="B2" s="8">
        <v>-2.14</v>
      </c>
      <c r="C2" s="8">
        <v>-7.28</v>
      </c>
      <c r="D2" s="8">
        <v>-1.5</v>
      </c>
      <c r="E2" s="8">
        <v>1.71</v>
      </c>
      <c r="F2" s="8">
        <v>-0.61</v>
      </c>
      <c r="G2" s="8">
        <v>-0.49</v>
      </c>
      <c r="H2" s="8">
        <v>-4.1399999999999997</v>
      </c>
      <c r="I2" s="8">
        <v>0.28999999999999998</v>
      </c>
      <c r="J2" s="8">
        <v>-0.91</v>
      </c>
      <c r="K2" s="8">
        <v>-1.1299999999999999</v>
      </c>
    </row>
    <row r="3" spans="1:18" ht="16">
      <c r="A3" s="7" t="s">
        <v>116</v>
      </c>
      <c r="B3" s="8">
        <v>-3.11</v>
      </c>
      <c r="C3" s="8">
        <v>-7.92</v>
      </c>
      <c r="D3" s="8">
        <v>-2.39</v>
      </c>
      <c r="E3" s="8">
        <v>3.43</v>
      </c>
      <c r="F3" s="8">
        <v>-1.33</v>
      </c>
      <c r="G3" s="8">
        <v>-1.79</v>
      </c>
      <c r="H3" s="8">
        <v>-4.4000000000000004</v>
      </c>
      <c r="I3" s="8">
        <v>-0.31</v>
      </c>
      <c r="J3" s="8">
        <v>-2.54</v>
      </c>
      <c r="K3" s="8">
        <v>-0.83</v>
      </c>
    </row>
    <row r="4" spans="1:18" ht="31">
      <c r="A4" s="7" t="s">
        <v>117</v>
      </c>
      <c r="B4" s="8">
        <v>-2.75</v>
      </c>
      <c r="C4" s="8">
        <v>-5.31</v>
      </c>
      <c r="D4" s="8">
        <v>-0.46</v>
      </c>
      <c r="E4" s="8">
        <v>2.0499999999999998</v>
      </c>
      <c r="F4" s="8">
        <v>-4.26</v>
      </c>
      <c r="G4" s="8">
        <v>-6.08</v>
      </c>
      <c r="H4" s="8">
        <v>-5.57</v>
      </c>
      <c r="I4" s="8">
        <v>-11.51</v>
      </c>
      <c r="J4" s="8">
        <v>-7.55</v>
      </c>
      <c r="K4" s="8">
        <v>-1.98</v>
      </c>
    </row>
    <row r="5" spans="1:18" ht="16">
      <c r="A5" s="9" t="s">
        <v>118</v>
      </c>
      <c r="B5" s="10">
        <v>-3.4</v>
      </c>
      <c r="C5" s="10">
        <v>-6.08</v>
      </c>
      <c r="D5" s="10">
        <v>0.71</v>
      </c>
      <c r="E5" s="10">
        <v>3.47</v>
      </c>
      <c r="F5" s="10">
        <v>-1.59</v>
      </c>
      <c r="G5" s="10">
        <v>-2.02</v>
      </c>
      <c r="H5" s="10">
        <v>-3.76</v>
      </c>
      <c r="I5" s="10">
        <v>-1.56</v>
      </c>
      <c r="J5" s="10">
        <v>-2.33</v>
      </c>
      <c r="K5" s="10">
        <v>-1.48</v>
      </c>
    </row>
    <row r="9" spans="1:18" ht="31">
      <c r="A9" s="5"/>
      <c r="B9" s="7" t="s">
        <v>115</v>
      </c>
      <c r="C9" s="7" t="s">
        <v>116</v>
      </c>
      <c r="D9" s="7" t="s">
        <v>117</v>
      </c>
      <c r="E9" s="9" t="s">
        <v>118</v>
      </c>
      <c r="H9" s="6" t="s">
        <v>119</v>
      </c>
      <c r="I9" s="11" t="s">
        <v>95</v>
      </c>
      <c r="J9" s="11" t="s">
        <v>96</v>
      </c>
      <c r="K9" s="11" t="s">
        <v>97</v>
      </c>
      <c r="L9" s="11" t="s">
        <v>98</v>
      </c>
      <c r="M9" s="11" t="s">
        <v>99</v>
      </c>
      <c r="N9" s="11" t="s">
        <v>100</v>
      </c>
      <c r="O9" s="11" t="s">
        <v>101</v>
      </c>
      <c r="P9" s="11" t="s">
        <v>102</v>
      </c>
      <c r="Q9" s="12" t="s">
        <v>120</v>
      </c>
      <c r="R9" s="11" t="s">
        <v>114</v>
      </c>
    </row>
    <row r="10" spans="1:18" ht="16">
      <c r="A10" s="6" t="s">
        <v>95</v>
      </c>
      <c r="B10" s="8">
        <v>-2.14</v>
      </c>
      <c r="C10" s="8">
        <v>-3.11</v>
      </c>
      <c r="D10" s="8">
        <v>-2.75</v>
      </c>
      <c r="E10" s="10">
        <v>-3.4</v>
      </c>
      <c r="H10" s="7" t="s">
        <v>121</v>
      </c>
      <c r="I10" s="13">
        <v>120</v>
      </c>
      <c r="J10" s="13">
        <v>120</v>
      </c>
      <c r="K10" s="13">
        <v>120</v>
      </c>
      <c r="L10" s="13">
        <v>120</v>
      </c>
      <c r="M10" s="13">
        <v>120</v>
      </c>
      <c r="N10" s="13">
        <v>120</v>
      </c>
      <c r="O10" s="13">
        <v>120</v>
      </c>
      <c r="P10" s="13">
        <v>120</v>
      </c>
      <c r="Q10" s="13">
        <v>120</v>
      </c>
      <c r="R10" s="13">
        <v>120</v>
      </c>
    </row>
    <row r="11" spans="1:18" ht="16">
      <c r="A11" s="6" t="s">
        <v>96</v>
      </c>
      <c r="B11" s="8">
        <v>-7.28</v>
      </c>
      <c r="C11" s="8">
        <v>-7.92</v>
      </c>
      <c r="D11" s="8">
        <v>-5.31</v>
      </c>
      <c r="E11" s="10">
        <v>-6.08</v>
      </c>
      <c r="H11" s="7" t="s">
        <v>116</v>
      </c>
      <c r="I11" s="13">
        <v>629</v>
      </c>
      <c r="J11" s="13">
        <v>154</v>
      </c>
      <c r="K11" s="13">
        <v>147</v>
      </c>
      <c r="L11" s="13">
        <v>28</v>
      </c>
      <c r="M11" s="13">
        <v>128</v>
      </c>
      <c r="N11" s="13">
        <v>773</v>
      </c>
      <c r="O11" s="13">
        <v>64</v>
      </c>
      <c r="P11" s="13">
        <v>491</v>
      </c>
      <c r="Q11" s="13">
        <v>480</v>
      </c>
      <c r="R11" s="13">
        <v>43</v>
      </c>
    </row>
    <row r="12" spans="1:18" ht="31">
      <c r="A12" s="6" t="s">
        <v>97</v>
      </c>
      <c r="B12" s="8">
        <v>-1.5</v>
      </c>
      <c r="C12" s="8">
        <v>-2.39</v>
      </c>
      <c r="D12" s="8">
        <v>-0.46</v>
      </c>
      <c r="E12" s="10">
        <v>0.71</v>
      </c>
      <c r="H12" s="9" t="s">
        <v>117</v>
      </c>
      <c r="I12" s="14">
        <v>3290</v>
      </c>
      <c r="J12" s="14">
        <v>156</v>
      </c>
      <c r="K12" s="14">
        <v>56</v>
      </c>
      <c r="L12" s="14">
        <v>96</v>
      </c>
      <c r="M12" s="14">
        <v>439</v>
      </c>
      <c r="N12" s="14">
        <v>5588</v>
      </c>
      <c r="O12" s="14">
        <v>141</v>
      </c>
      <c r="P12" s="14">
        <v>15430</v>
      </c>
      <c r="Q12" s="14">
        <v>2270</v>
      </c>
      <c r="R12" s="14">
        <v>290</v>
      </c>
    </row>
    <row r="13" spans="1:18" ht="16">
      <c r="A13" s="6" t="s">
        <v>98</v>
      </c>
      <c r="B13" s="8">
        <v>1.71</v>
      </c>
      <c r="C13" s="8">
        <v>3.43</v>
      </c>
      <c r="D13" s="8">
        <v>2.0499999999999998</v>
      </c>
      <c r="E13" s="10">
        <v>3.47</v>
      </c>
    </row>
    <row r="14" spans="1:18" ht="16">
      <c r="A14" s="6" t="s">
        <v>99</v>
      </c>
      <c r="B14" s="8">
        <v>-0.61</v>
      </c>
      <c r="C14" s="8">
        <v>-1.33</v>
      </c>
      <c r="D14" s="8">
        <v>-4.26</v>
      </c>
      <c r="E14" s="10">
        <v>-1.59</v>
      </c>
    </row>
    <row r="15" spans="1:18" ht="16">
      <c r="A15" s="6" t="s">
        <v>100</v>
      </c>
      <c r="B15" s="8">
        <v>-0.49</v>
      </c>
      <c r="C15" s="8">
        <v>-1.79</v>
      </c>
      <c r="D15" s="8">
        <v>-6.08</v>
      </c>
      <c r="E15" s="10">
        <v>-2.02</v>
      </c>
    </row>
    <row r="16" spans="1:18" ht="31">
      <c r="A16" s="6" t="s">
        <v>101</v>
      </c>
      <c r="B16" s="8">
        <v>-4.1399999999999997</v>
      </c>
      <c r="C16" s="8">
        <v>-4.4000000000000004</v>
      </c>
      <c r="D16" s="8">
        <v>-5.57</v>
      </c>
      <c r="E16" s="10">
        <v>-3.76</v>
      </c>
      <c r="H16" s="6" t="s">
        <v>119</v>
      </c>
      <c r="I16" s="7" t="s">
        <v>121</v>
      </c>
      <c r="J16" s="7" t="s">
        <v>116</v>
      </c>
      <c r="K16" s="9" t="s">
        <v>117</v>
      </c>
    </row>
    <row r="17" spans="1:11" ht="16">
      <c r="A17" s="6" t="s">
        <v>102</v>
      </c>
      <c r="B17" s="8">
        <v>0.28999999999999998</v>
      </c>
      <c r="C17" s="8">
        <v>-0.31</v>
      </c>
      <c r="D17" s="8">
        <v>-11.51</v>
      </c>
      <c r="E17" s="10">
        <v>-1.56</v>
      </c>
      <c r="H17" s="11" t="s">
        <v>95</v>
      </c>
      <c r="I17" s="13">
        <v>120</v>
      </c>
      <c r="J17" s="13">
        <v>629</v>
      </c>
      <c r="K17" s="14">
        <v>3290</v>
      </c>
    </row>
    <row r="18" spans="1:11" ht="31">
      <c r="A18" s="6" t="s">
        <v>113</v>
      </c>
      <c r="B18" s="8">
        <v>-0.91</v>
      </c>
      <c r="C18" s="8">
        <v>-2.54</v>
      </c>
      <c r="D18" s="8">
        <v>-7.55</v>
      </c>
      <c r="E18" s="10">
        <v>-2.33</v>
      </c>
      <c r="H18" s="11" t="s">
        <v>96</v>
      </c>
      <c r="I18" s="13">
        <v>120</v>
      </c>
      <c r="J18" s="13">
        <v>154</v>
      </c>
      <c r="K18" s="14">
        <v>156</v>
      </c>
    </row>
    <row r="19" spans="1:11" ht="31">
      <c r="A19" s="6" t="s">
        <v>114</v>
      </c>
      <c r="B19" s="8">
        <v>-1.1299999999999999</v>
      </c>
      <c r="C19" s="8">
        <v>-0.83</v>
      </c>
      <c r="D19" s="8">
        <v>-1.98</v>
      </c>
      <c r="E19" s="10">
        <v>-1.48</v>
      </c>
      <c r="H19" s="11" t="s">
        <v>97</v>
      </c>
      <c r="I19" s="13">
        <v>120</v>
      </c>
      <c r="J19" s="13">
        <v>147</v>
      </c>
      <c r="K19" s="14">
        <v>56</v>
      </c>
    </row>
    <row r="20" spans="1:11" ht="16">
      <c r="H20" s="11" t="s">
        <v>98</v>
      </c>
      <c r="I20" s="13">
        <v>120</v>
      </c>
      <c r="J20" s="13">
        <v>28</v>
      </c>
      <c r="K20" s="14">
        <v>96</v>
      </c>
    </row>
    <row r="21" spans="1:11" ht="16">
      <c r="H21" s="11" t="s">
        <v>99</v>
      </c>
      <c r="I21" s="13">
        <v>120</v>
      </c>
      <c r="J21" s="13">
        <v>128</v>
      </c>
      <c r="K21" s="14">
        <v>439</v>
      </c>
    </row>
    <row r="22" spans="1:11" ht="16">
      <c r="H22" s="11" t="s">
        <v>100</v>
      </c>
      <c r="I22" s="13">
        <v>120</v>
      </c>
      <c r="J22" s="13">
        <v>773</v>
      </c>
      <c r="K22" s="14">
        <v>5588</v>
      </c>
    </row>
    <row r="23" spans="1:11" ht="31">
      <c r="H23" s="11" t="s">
        <v>101</v>
      </c>
      <c r="I23" s="13">
        <v>120</v>
      </c>
      <c r="J23" s="13">
        <v>64</v>
      </c>
      <c r="K23" s="14">
        <v>141</v>
      </c>
    </row>
    <row r="24" spans="1:11" ht="16">
      <c r="H24" s="11" t="s">
        <v>102</v>
      </c>
      <c r="I24" s="13">
        <v>120</v>
      </c>
      <c r="J24" s="13">
        <v>491</v>
      </c>
      <c r="K24" s="14">
        <v>15430</v>
      </c>
    </row>
    <row r="25" spans="1:11" ht="31">
      <c r="H25" s="12" t="s">
        <v>120</v>
      </c>
      <c r="I25" s="13">
        <v>120</v>
      </c>
      <c r="J25" s="13">
        <v>480</v>
      </c>
      <c r="K25" s="14">
        <v>2270</v>
      </c>
    </row>
    <row r="26" spans="1:11" ht="31">
      <c r="H26" s="11" t="s">
        <v>114</v>
      </c>
      <c r="I26" s="13">
        <v>120</v>
      </c>
      <c r="J26" s="13">
        <v>43</v>
      </c>
      <c r="K26" s="14">
        <v>290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K6"/>
    </sheetView>
  </sheetViews>
  <sheetFormatPr baseColWidth="10" defaultColWidth="9.1640625" defaultRowHeight="15"/>
  <sheetData>
    <row r="1" spans="1:11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</row>
    <row r="2" spans="1:11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</row>
    <row r="3" spans="1:11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</row>
    <row r="4" spans="1:11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</row>
    <row r="5" spans="1:11">
      <c r="A5" t="s">
        <v>111</v>
      </c>
      <c r="B5" s="3">
        <f t="shared" ref="B5:K5" si="0">B3/B4</f>
        <v>0.32342466824336003</v>
      </c>
      <c r="C5" s="3">
        <f t="shared" si="0"/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1">
      <c r="A6" t="s">
        <v>112</v>
      </c>
      <c r="B6" s="4">
        <f t="shared" ref="B6:K6" si="1">B3/B2</f>
        <v>18.396066247786401</v>
      </c>
      <c r="C6" s="4">
        <f t="shared" si="1"/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情景设计</vt:lpstr>
      <vt:lpstr>GLOBAL GDP</vt:lpstr>
      <vt:lpstr>GLOBAL CO2</vt:lpstr>
      <vt:lpstr>C_GDP</vt:lpstr>
      <vt:lpstr>Sheet4</vt:lpstr>
      <vt:lpstr>C_CO2</vt:lpstr>
      <vt:lpstr>LEAK</vt:lpstr>
      <vt:lpstr>EXP</vt:lpstr>
      <vt:lpstr>IMP</vt:lpstr>
      <vt:lpstr>Sheet3</vt:lpstr>
      <vt:lpstr>减排有效性</vt:lpstr>
      <vt:lpstr>Sheet1</vt:lpstr>
      <vt:lpstr>3dimension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hnx</dc:creator>
  <cp:lastModifiedBy>Chen Xiang</cp:lastModifiedBy>
  <dcterms:created xsi:type="dcterms:W3CDTF">2015-06-05T18:19:00Z</dcterms:created>
  <dcterms:modified xsi:type="dcterms:W3CDTF">2025-11-14T04:01:04Z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87C3026599554109BD993DCAF1EE2DDC_12</vt:lpwstr>
  </property>
  <property fmtid="{D5CDD505-2E9C-101B-9397-08002B2CF9AE}" pid="3" name="KSOProductBuildVer">
    <vt:lpwstr>1033-12.2.0.20326</vt:lpwstr>
  </property>
</Properties>
</file>