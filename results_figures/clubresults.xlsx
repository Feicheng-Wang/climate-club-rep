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50" firstSheet="4" activeTab="6"/>
  </bookViews>
  <sheets>
    <sheet name="GLOBAL GDP" sheetId="1" r:id="rId1"/>
    <sheet name="GLOBAL CO2" sheetId="2" r:id="rId2"/>
    <sheet name="C_GDP" sheetId="3" r:id="rId3"/>
    <sheet name="C_CO2" sheetId="4" r:id="rId4"/>
    <sheet name="LEAK" sheetId="5" r:id="rId5"/>
    <sheet name="EXP" sheetId="6" r:id="rId6"/>
    <sheet name="IMP" sheetId="7" r:id="rId7"/>
    <sheet name="effiency" sheetId="1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<sst xmlns="http://schemas.openxmlformats.org/spreadsheetml/2006/main" count="123" uniqueCount="54">
  <si>
    <t>CLUB0</t>
  </si>
  <si>
    <t>CLUB1</t>
  </si>
  <si>
    <t>CLUB2</t>
  </si>
  <si>
    <t>CLUBG</t>
  </si>
  <si>
    <t>CLUB0rt</t>
  </si>
  <si>
    <t>CLUB1rt</t>
  </si>
  <si>
    <t>CLUB2rt</t>
  </si>
  <si>
    <t>EU</t>
  </si>
  <si>
    <t>ANNEX I</t>
  </si>
  <si>
    <t>CAN</t>
  </si>
  <si>
    <t>USA</t>
  </si>
  <si>
    <t>MEX</t>
  </si>
  <si>
    <t>CHN</t>
  </si>
  <si>
    <t>IND</t>
  </si>
  <si>
    <t>ROW</t>
  </si>
  <si>
    <t>RUS</t>
  </si>
  <si>
    <t>OILEX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</si>
  <si>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</si>
  <si>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</si>
  <si>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</si>
  <si>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</si>
  <si>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</si>
  <si>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</si>
  <si>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</si>
  <si>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</si>
  <si>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</si>
  <si>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</si>
  <si>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</si>
  <si>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</si>
  <si>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</si>
  <si>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</si>
  <si>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</si>
  <si>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</si>
  <si>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</si>
  <si>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</si>
  <si>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</si>
  <si>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</si>
  <si>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</si>
  <si>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</si>
  <si>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</si>
  <si>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</si>
  <si>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can</t>
  </si>
  <si>
    <t>rus</t>
  </si>
  <si>
    <t>chn</t>
  </si>
  <si>
    <t>ind</t>
  </si>
  <si>
    <t>mex</t>
  </si>
  <si>
    <t>usa</t>
  </si>
  <si>
    <t>xoi</t>
  </si>
  <si>
    <t>eu</t>
  </si>
  <si>
    <t>rxan</t>
  </si>
  <si>
    <t>xrw</t>
  </si>
  <si>
    <r>
      <t>GDP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Times New Roman"/>
        <charset val="134"/>
      </rPr>
      <t>%</t>
    </r>
    <r>
      <rPr>
        <b/>
        <sz val="11"/>
        <color rgb="FF000000"/>
        <rFont val="宋体"/>
        <charset val="134"/>
      </rPr>
      <t>）</t>
    </r>
  </si>
  <si>
    <r>
      <t>CO2</t>
    </r>
    <r>
      <rPr>
        <b/>
        <sz val="11"/>
        <color rgb="FF000000"/>
        <rFont val="宋体"/>
        <charset val="134"/>
      </rPr>
      <t>（</t>
    </r>
    <r>
      <rPr>
        <b/>
        <sz val="11"/>
        <color rgb="FF000000"/>
        <rFont val="Times New Roman"/>
        <charset val="134"/>
      </rPr>
      <t>%</t>
    </r>
    <r>
      <rPr>
        <b/>
        <sz val="11"/>
        <color rgb="FF000000"/>
        <rFont val="宋体"/>
        <charset val="134"/>
      </rPr>
      <t>）</t>
    </r>
  </si>
  <si>
    <t>Economic Effiency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</si>
</sst>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"/>
    <numFmt numFmtId="178" formatCode="0_ "/>
    <numFmt numFmtId="179" formatCode="0.0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176" fontId="0" fillId="0" borderId="2" xfId="0" applyNumberFormat="1" applyBorder="1"/>
    <xf numFmtId="176" fontId="0" fillId="0" borderId="0" xfId="0" applyNumberFormat="1"/>
    <xf numFmtId="176" fontId="3" fillId="0" borderId="0" xfId="0" applyNumberFormat="1" applyFont="1" applyAlignment="1">
      <alignment horizontal="center" wrapText="1"/>
    </xf>
    <xf numFmtId="0" fontId="0" fillId="0" borderId="2" xfId="0" applyBorder="1"/>
    <xf numFmtId="0" fontId="0" fillId="0" borderId="0" xfId="0" applyAlignment="1">
      <alignment vertical="center"/>
    </xf>
    <xf numFmtId="177" fontId="0" fillId="3" borderId="0" xfId="0" applyNumberFormat="1" applyFill="1"/>
    <xf numFmtId="177" fontId="0" fillId="0" borderId="0" xfId="0" applyNumberFormat="1"/>
    <xf numFmtId="0" fontId="0" fillId="4" borderId="0" xfId="0" applyFill="1"/>
    <xf numFmtId="177" fontId="0" fillId="4" borderId="0" xfId="0" applyNumberFormat="1" applyFill="1"/>
    <xf numFmtId="178" fontId="0" fillId="0" borderId="0" xfId="0" applyNumberFormat="1"/>
    <xf numFmtId="178" fontId="0" fillId="4" borderId="0" xfId="0" applyNumberFormat="1" applyFill="1"/>
    <xf numFmtId="179" fontId="0" fillId="3" borderId="0" xfId="0" applyNumberFormat="1" applyFill="1"/>
    <xf numFmtId="17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77" fontId="4" fillId="4" borderId="0" xfId="0" applyNumberFormat="1" applyFont="1" applyFill="1" applyAlignment="1">
      <alignment horizontal="center"/>
    </xf>
    <xf numFmtId="177" fontId="0" fillId="4" borderId="0" xfId="0" applyNumberFormat="1" applyFill="1" applyAlignment="1">
      <alignment horizontal="center"/>
    </xf>
    <xf numFmtId="177" fontId="4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177" fontId="0" fillId="5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77" fontId="4" fillId="2" borderId="0" xfId="0" applyNumberFormat="1" applyFont="1" applyFill="1" applyAlignment="1">
      <alignment horizontal="center"/>
    </xf>
    <xf numFmtId="177" fontId="0" fillId="2" borderId="0" xfId="0" applyNumberFormat="1" applyFill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 quotePrefix="1">
      <alignment horizontal="center" vertical="center"/>
    </xf>
    <xf numFmtId="0" fontId="0" fillId="0" borderId="0" xfId="0" applyFont="1" applyAlignment="1" quotePrefix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'GLOBAL CO2'!$A$2</c:f>
              <c:strCache>
                <c:ptCount val="1"/>
                <c:pt idx="0">
                  <c:v>CLUB0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CO2'!$B$2:$Y$2</c:f>
              <c:numCache>
                <c:formatCode>0.000_ </c:formatCode>
                <c:ptCount val="1"/>
                <c:pt idx="0">
                  <c:v>-0.324082866335129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C_GDP!#REF!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C_GDP!#REF!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C_GDP!#REF!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C_GDP!#REF!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'GLOBAL CO2'!$A$3</c:f>
              <c:strCache>
                <c:ptCount val="1"/>
                <c:pt idx="0">
                  <c:v>CLUB1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CO2'!$B$3:$Y$3</c:f>
              <c:numCache>
                <c:formatCode>0.000_ </c:formatCode>
                <c:ptCount val="1"/>
                <c:pt idx="0">
                  <c:v>-1.43596854107717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C_GDP!#REF!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C_GDP!#REF!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C_GDP!#REF!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C_GDP!#REF!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'GLOBAL CO2'!$A$4</c:f>
              <c:strCache>
                <c:ptCount val="1"/>
                <c:pt idx="0">
                  <c:v>CLUB2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CO2'!$B$4:$Y$4</c:f>
              <c:numCache>
                <c:formatCode>0.000_ </c:formatCode>
                <c:ptCount val="1"/>
                <c:pt idx="0">
                  <c:v>-13.4986854005831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'GLOBAL CO2'!$A$5</c:f>
              <c:strCache>
                <c:ptCount val="1"/>
                <c:pt idx="0">
                  <c:v>CLUBG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CO2'!$B$5:$Y$5</c:f>
              <c:numCache>
                <c:formatCode>0.000_ </c:formatCode>
                <c:ptCount val="1"/>
                <c:pt idx="0">
                  <c:v>-17.6236321091195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'GLOBAL CO2'!$A$6</c:f>
              <c:strCache>
                <c:ptCount val="1"/>
                <c:pt idx="0">
                  <c:v>CLUB0rt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CO2'!$B$6:$Y$6</c:f>
              <c:numCache>
                <c:formatCode>0.000_ </c:formatCode>
                <c:ptCount val="1"/>
                <c:pt idx="0">
                  <c:v>-0.338170755169287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C_GDP!#REF!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C_GDP!#REF!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C_GDP!#REF!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C_GDP!#REF!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'GLOBAL CO2'!$A$7</c:f>
              <c:strCache>
                <c:ptCount val="1"/>
                <c:pt idx="0">
                  <c:v>CLUB1rt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CO2'!$B$7:$Y$7</c:f>
              <c:numCache>
                <c:formatCode>0.000_ </c:formatCode>
                <c:ptCount val="1"/>
                <c:pt idx="0">
                  <c:v>-1.65725753195669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C_GDP!#REF!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C_GDP!#REF!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C_GDP!#REF!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C_GDP!#REF!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'GLOBAL CO2'!$A$8</c:f>
              <c:strCache>
                <c:ptCount val="1"/>
                <c:pt idx="0">
                  <c:v>CLUB2rt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'GLOBAL CO2'!$B$1:$Y$1</c:f>
              <c:numCache>
                <c:formatCode>General</c:formatCode>
                <c:ptCount val="1"/>
                <c:pt idx="0">
                  <c:v>2040</c:v>
                </c:pt>
              </c:numCache>
            </c:numRef>
          </c:cat>
          <c:val>
            <c:numRef>
              <c:f>'GLOBAL CO2'!$B$8:$Y$8</c:f>
              <c:numCache>
                <c:formatCode>0.000_ </c:formatCode>
                <c:ptCount val="1"/>
                <c:pt idx="0">
                  <c:v>-13.9389777575193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23372576"/>
        <c:axId val="1123367296"/>
      </c:lineChart>
      <c:catAx>
        <c:axId val="112337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3367296"/>
        <c:crosses val="autoZero"/>
        <c:auto val="1"/>
        <c:lblAlgn val="ctr"/>
        <c:lblOffset val="100"/>
        <c:noMultiLvlLbl val="0"/>
      </c:catAx>
      <c:valAx>
        <c:axId val="1123367296"/>
        <c:scaling>
          <c:orientation val="minMax"/>
        </c:scaling>
        <c:delete val="0"/>
        <c:axPos val="l"/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33725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f1dc4d-bb55-4227-93c9-d1f0d3ff69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LEAK!$A$2</c:f>
              <c:strCache>
                <c:ptCount val="1"/>
                <c:pt idx="0">
                  <c:v>CLUB0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LEAK!$B$2:$Y$2</c:f>
              <c:numCache>
                <c:formatCode>0_ </c:formatCode>
                <c:ptCount val="24"/>
                <c:pt idx="0">
                  <c:v>27.79204627154</c:v>
                </c:pt>
                <c:pt idx="1">
                  <c:v>30.1033987587355</c:v>
                </c:pt>
                <c:pt idx="2">
                  <c:v>31.1578344514934</c:v>
                </c:pt>
                <c:pt idx="3">
                  <c:v>32.4852863522943</c:v>
                </c:pt>
                <c:pt idx="4">
                  <c:v>33.8272723107492</c:v>
                </c:pt>
                <c:pt idx="5">
                  <c:v>35.1031646268665</c:v>
                </c:pt>
                <c:pt idx="6">
                  <c:v>36.3893622928678</c:v>
                </c:pt>
                <c:pt idx="7">
                  <c:v>37.6737717304082</c:v>
                </c:pt>
                <c:pt idx="8">
                  <c:v>38.9524672882056</c:v>
                </c:pt>
                <c:pt idx="9">
                  <c:v>40.2197584582668</c:v>
                </c:pt>
                <c:pt idx="10">
                  <c:v>41.4666058093946</c:v>
                </c:pt>
                <c:pt idx="11">
                  <c:v>42.6919100886635</c:v>
                </c:pt>
                <c:pt idx="12">
                  <c:v>43.886184551884</c:v>
                </c:pt>
                <c:pt idx="13">
                  <c:v>45.0455002612746</c:v>
                </c:pt>
                <c:pt idx="14">
                  <c:v>46.1652790594961</c:v>
                </c:pt>
                <c:pt idx="15">
                  <c:v>47.2339927809859</c:v>
                </c:pt>
                <c:pt idx="16">
                  <c:v>48.3150648618067</c:v>
                </c:pt>
                <c:pt idx="17">
                  <c:v>49.3504223857577</c:v>
                </c:pt>
                <c:pt idx="18">
                  <c:v>50.34398572567</c:v>
                </c:pt>
                <c:pt idx="19">
                  <c:v>51.2663070807173</c:v>
                </c:pt>
                <c:pt idx="20">
                  <c:v>52.1198432305788</c:v>
                </c:pt>
                <c:pt idx="21">
                  <c:v>52.9971356029617</c:v>
                </c:pt>
                <c:pt idx="22">
                  <c:v>53.8074935224673</c:v>
                </c:pt>
                <c:pt idx="23">
                  <c:v>54.5969440548423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LEAK!$A$3</c:f>
              <c:strCache>
                <c:ptCount val="1"/>
                <c:pt idx="0">
                  <c:v>CLUB1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LEAK!$B$3:$Y$3</c:f>
              <c:numCache>
                <c:formatCode>0_ </c:formatCode>
                <c:ptCount val="24"/>
                <c:pt idx="0">
                  <c:v>21.4622309254466</c:v>
                </c:pt>
                <c:pt idx="1">
                  <c:v>22.8362418036543</c:v>
                </c:pt>
                <c:pt idx="2">
                  <c:v>24.0125430029065</c:v>
                </c:pt>
                <c:pt idx="3">
                  <c:v>25.3234039116997</c:v>
                </c:pt>
                <c:pt idx="4">
                  <c:v>26.7254271880813</c:v>
                </c:pt>
                <c:pt idx="5">
                  <c:v>28.1638005268728</c:v>
                </c:pt>
                <c:pt idx="6">
                  <c:v>29.6458973233892</c:v>
                </c:pt>
                <c:pt idx="7">
                  <c:v>31.1587095725958</c:v>
                </c:pt>
                <c:pt idx="8">
                  <c:v>32.6928503354268</c:v>
                </c:pt>
                <c:pt idx="9">
                  <c:v>34.2416441692985</c:v>
                </c:pt>
                <c:pt idx="10">
                  <c:v>35.7907667684346</c:v>
                </c:pt>
                <c:pt idx="11">
                  <c:v>37.3315358082426</c:v>
                </c:pt>
                <c:pt idx="12">
                  <c:v>38.8527414538292</c:v>
                </c:pt>
                <c:pt idx="13">
                  <c:v>40.34422506885</c:v>
                </c:pt>
                <c:pt idx="14">
                  <c:v>41.802265674806</c:v>
                </c:pt>
                <c:pt idx="15">
                  <c:v>43.2208372498699</c:v>
                </c:pt>
                <c:pt idx="16">
                  <c:v>44.6274539680769</c:v>
                </c:pt>
                <c:pt idx="17">
                  <c:v>45.9939093341138</c:v>
                </c:pt>
                <c:pt idx="18">
                  <c:v>47.3140741994071</c:v>
                </c:pt>
                <c:pt idx="19">
                  <c:v>48.5096890074622</c:v>
                </c:pt>
                <c:pt idx="20">
                  <c:v>49.6377790562882</c:v>
                </c:pt>
                <c:pt idx="21">
                  <c:v>50.7375358685459</c:v>
                </c:pt>
                <c:pt idx="22">
                  <c:v>51.7761833272197</c:v>
                </c:pt>
                <c:pt idx="23">
                  <c:v>52.7640324668392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LEAK!$A$4</c:f>
              <c:strCache>
                <c:ptCount val="1"/>
                <c:pt idx="0">
                  <c:v>CLUB2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LEAK!$B$4:$Y$4</c:f>
              <c:numCache>
                <c:formatCode>0_ </c:formatCode>
                <c:ptCount val="24"/>
                <c:pt idx="0">
                  <c:v>7.19146104176691</c:v>
                </c:pt>
                <c:pt idx="1">
                  <c:v>7.24728770670466</c:v>
                </c:pt>
                <c:pt idx="2">
                  <c:v>7.26140326377741</c:v>
                </c:pt>
                <c:pt idx="3">
                  <c:v>7.32319812317812</c:v>
                </c:pt>
                <c:pt idx="4">
                  <c:v>7.4206497051027</c:v>
                </c:pt>
                <c:pt idx="5">
                  <c:v>7.5388843385298</c:v>
                </c:pt>
                <c:pt idx="6">
                  <c:v>7.67562018795958</c:v>
                </c:pt>
                <c:pt idx="7">
                  <c:v>7.82726681708382</c:v>
                </c:pt>
                <c:pt idx="8">
                  <c:v>7.99085622745816</c:v>
                </c:pt>
                <c:pt idx="9">
                  <c:v>8.16150946266195</c:v>
                </c:pt>
                <c:pt idx="10">
                  <c:v>8.33875453371003</c:v>
                </c:pt>
                <c:pt idx="11">
                  <c:v>8.52153902932916</c:v>
                </c:pt>
                <c:pt idx="12">
                  <c:v>8.70850270609807</c:v>
                </c:pt>
                <c:pt idx="13">
                  <c:v>8.89836535206403</c:v>
                </c:pt>
                <c:pt idx="14">
                  <c:v>9.0870828100289</c:v>
                </c:pt>
                <c:pt idx="15">
                  <c:v>9.28241310420277</c:v>
                </c:pt>
                <c:pt idx="16">
                  <c:v>9.48177529152782</c:v>
                </c:pt>
                <c:pt idx="17">
                  <c:v>9.68337991778645</c:v>
                </c:pt>
                <c:pt idx="18">
                  <c:v>9.88586992406299</c:v>
                </c:pt>
                <c:pt idx="19">
                  <c:v>10.0640136788703</c:v>
                </c:pt>
                <c:pt idx="20">
                  <c:v>10.2403448732054</c:v>
                </c:pt>
                <c:pt idx="21">
                  <c:v>10.4181037764821</c:v>
                </c:pt>
                <c:pt idx="22">
                  <c:v>10.5917588473412</c:v>
                </c:pt>
                <c:pt idx="23">
                  <c:v>10.7619194516219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LEAK!$A$5</c:f>
              <c:strCache>
                <c:ptCount val="1"/>
                <c:pt idx="0">
                  <c:v>CLUBG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LEAK!$B$5:$Y$5</c:f>
              <c:numCache>
                <c:formatCode>0_ 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LEAK!$A$6</c:f>
              <c:strCache>
                <c:ptCount val="1"/>
                <c:pt idx="0">
                  <c:v>CLUB0rt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LEAK!$B$6:$Y$6</c:f>
              <c:numCache>
                <c:formatCode>0_ </c:formatCode>
                <c:ptCount val="24"/>
                <c:pt idx="0">
                  <c:v>31.0742211043708</c:v>
                </c:pt>
                <c:pt idx="1">
                  <c:v>32.3687706183814</c:v>
                </c:pt>
                <c:pt idx="2">
                  <c:v>33.3954425106791</c:v>
                </c:pt>
                <c:pt idx="3">
                  <c:v>34.7239666078646</c:v>
                </c:pt>
                <c:pt idx="4">
                  <c:v>36.187836134978</c:v>
                </c:pt>
                <c:pt idx="5">
                  <c:v>37.6202471470681</c:v>
                </c:pt>
                <c:pt idx="6">
                  <c:v>39.0644059777515</c:v>
                </c:pt>
                <c:pt idx="7">
                  <c:v>40.5043587524492</c:v>
                </c:pt>
                <c:pt idx="8">
                  <c:v>41.934817992681</c:v>
                </c:pt>
                <c:pt idx="9">
                  <c:v>43.3517152248385</c:v>
                </c:pt>
                <c:pt idx="10">
                  <c:v>44.74144620735</c:v>
                </c:pt>
                <c:pt idx="11">
                  <c:v>46.1025522910639</c:v>
                </c:pt>
                <c:pt idx="12">
                  <c:v>47.4255608863398</c:v>
                </c:pt>
                <c:pt idx="13">
                  <c:v>48.7046347379524</c:v>
                </c:pt>
                <c:pt idx="14">
                  <c:v>49.9356298752884</c:v>
                </c:pt>
                <c:pt idx="15">
                  <c:v>51.1027182040263</c:v>
                </c:pt>
                <c:pt idx="16">
                  <c:v>52.2749062904999</c:v>
                </c:pt>
                <c:pt idx="17">
                  <c:v>53.3937656525945</c:v>
                </c:pt>
                <c:pt idx="18">
                  <c:v>54.4609655318249</c:v>
                </c:pt>
                <c:pt idx="19">
                  <c:v>55.4388852292033</c:v>
                </c:pt>
                <c:pt idx="20">
                  <c:v>56.3372495055787</c:v>
                </c:pt>
                <c:pt idx="21">
                  <c:v>57.2479419357356</c:v>
                </c:pt>
                <c:pt idx="22">
                  <c:v>58.0843450820678</c:v>
                </c:pt>
                <c:pt idx="23">
                  <c:v>58.8899729462678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LEAK!$A$7</c:f>
              <c:strCache>
                <c:ptCount val="1"/>
                <c:pt idx="0">
                  <c:v>CLUB1rt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LEAK!$B$7:$Y$7</c:f>
              <c:numCache>
                <c:formatCode>0_ </c:formatCode>
                <c:ptCount val="24"/>
                <c:pt idx="0">
                  <c:v>9.88159207234861</c:v>
                </c:pt>
                <c:pt idx="1">
                  <c:v>15.2180136304219</c:v>
                </c:pt>
                <c:pt idx="2">
                  <c:v>18.1718120477425</c:v>
                </c:pt>
                <c:pt idx="3">
                  <c:v>20.4503375800926</c:v>
                </c:pt>
                <c:pt idx="4">
                  <c:v>22.4595058620675</c:v>
                </c:pt>
                <c:pt idx="5">
                  <c:v>24.3038122380985</c:v>
                </c:pt>
                <c:pt idx="6">
                  <c:v>26.0661973523051</c:v>
                </c:pt>
                <c:pt idx="7">
                  <c:v>27.7783392950255</c:v>
                </c:pt>
                <c:pt idx="8">
                  <c:v>29.4571933908945</c:v>
                </c:pt>
                <c:pt idx="9">
                  <c:v>31.1100737005507</c:v>
                </c:pt>
                <c:pt idx="10">
                  <c:v>32.7347368277354</c:v>
                </c:pt>
                <c:pt idx="11">
                  <c:v>34.3316125329896</c:v>
                </c:pt>
                <c:pt idx="12">
                  <c:v>35.8933078009472</c:v>
                </c:pt>
                <c:pt idx="13">
                  <c:v>37.4137001762246</c:v>
                </c:pt>
                <c:pt idx="14">
                  <c:v>38.8889362861394</c:v>
                </c:pt>
                <c:pt idx="15">
                  <c:v>40.3182434237962</c:v>
                </c:pt>
                <c:pt idx="16">
                  <c:v>41.7280948109106</c:v>
                </c:pt>
                <c:pt idx="17">
                  <c:v>43.0920979489896</c:v>
                </c:pt>
                <c:pt idx="18">
                  <c:v>44.4065234815181</c:v>
                </c:pt>
                <c:pt idx="19">
                  <c:v>45.5988519336936</c:v>
                </c:pt>
                <c:pt idx="20">
                  <c:v>46.7224566632332</c:v>
                </c:pt>
                <c:pt idx="21">
                  <c:v>47.8147705113547</c:v>
                </c:pt>
                <c:pt idx="22">
                  <c:v>48.8437410402154</c:v>
                </c:pt>
                <c:pt idx="23">
                  <c:v>49.8198252198964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LEAK!$A$8</c:f>
              <c:strCache>
                <c:ptCount val="1"/>
                <c:pt idx="0">
                  <c:v>CLUB2rt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LEAK!$B$1:$Y$1</c:f>
              <c:strCache>
                <c:ptCount val="2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  <c:pt idx="14">
                  <c:v>2031</c:v>
                </c:pt>
                <c:pt idx="15">
                  <c:v>2032</c:v>
                </c:pt>
                <c:pt idx="16">
                  <c:v>2033</c:v>
                </c:pt>
                <c:pt idx="17">
                  <c:v>2034</c:v>
                </c:pt>
                <c:pt idx="18">
                  <c:v>2035</c:v>
                </c:pt>
                <c:pt idx="19">
                  <c:v>2036</c:v>
                </c:pt>
                <c:pt idx="20">
                  <c:v>2037</c:v>
                </c:pt>
                <c:pt idx="21">
                  <c:v>2038</c:v>
                </c:pt>
                <c:pt idx="22">
                  <c:v>2039</c:v>
                </c:pt>
                <c:pt idx="23">
                  <c:v>2040</c:v>
                </c:pt>
              </c:strCache>
            </c:strRef>
          </c:cat>
          <c:val>
            <c:numRef>
              <c:f>LEAK!$B$8:$Y$8</c:f>
              <c:numCache>
                <c:formatCode>0_ </c:formatCode>
                <c:ptCount val="24"/>
                <c:pt idx="0">
                  <c:v>3.84994020212707</c:v>
                </c:pt>
                <c:pt idx="1">
                  <c:v>5.29482670456412</c:v>
                </c:pt>
                <c:pt idx="2">
                  <c:v>5.84185944857927</c:v>
                </c:pt>
                <c:pt idx="3">
                  <c:v>6.18945688276334</c:v>
                </c:pt>
                <c:pt idx="4">
                  <c:v>6.46880062239849</c:v>
                </c:pt>
                <c:pt idx="5">
                  <c:v>6.71123567374163</c:v>
                </c:pt>
                <c:pt idx="6">
                  <c:v>6.93834671932974</c:v>
                </c:pt>
                <c:pt idx="7">
                  <c:v>7.15876746952429</c:v>
                </c:pt>
                <c:pt idx="8">
                  <c:v>7.37671823073742</c:v>
                </c:pt>
                <c:pt idx="9">
                  <c:v>7.59117830835265</c:v>
                </c:pt>
                <c:pt idx="10">
                  <c:v>7.80490277224862</c:v>
                </c:pt>
                <c:pt idx="11">
                  <c:v>8.01884162050045</c:v>
                </c:pt>
                <c:pt idx="12">
                  <c:v>8.23277613527136</c:v>
                </c:pt>
                <c:pt idx="13">
                  <c:v>8.44642658646265</c:v>
                </c:pt>
                <c:pt idx="14">
                  <c:v>8.65616292190849</c:v>
                </c:pt>
                <c:pt idx="15">
                  <c:v>8.87064640701099</c:v>
                </c:pt>
                <c:pt idx="16">
                  <c:v>9.08813926712469</c:v>
                </c:pt>
                <c:pt idx="17">
                  <c:v>9.30721790553583</c:v>
                </c:pt>
                <c:pt idx="18">
                  <c:v>9.52660936956267</c:v>
                </c:pt>
                <c:pt idx="19">
                  <c:v>9.72088009685986</c:v>
                </c:pt>
                <c:pt idx="20">
                  <c:v>9.91271099781222</c:v>
                </c:pt>
                <c:pt idx="21">
                  <c:v>10.1069965488611</c:v>
                </c:pt>
                <c:pt idx="22">
                  <c:v>10.2974302780138</c:v>
                </c:pt>
                <c:pt idx="23">
                  <c:v>10.4850372853147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605735"/>
        <c:axId val="210398215"/>
      </c:lineChart>
      <c:catAx>
        <c:axId val="125605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398215"/>
        <c:crosses val="autoZero"/>
        <c:auto val="1"/>
        <c:lblAlgn val="ctr"/>
        <c:lblOffset val="100"/>
        <c:noMultiLvlLbl val="0"/>
      </c:catAx>
      <c:valAx>
        <c:axId val="210398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60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82374e-fc4d-4db6-84a9-72ccde0d8a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304800</xdr:colOff>
      <xdr:row>10</xdr:row>
      <xdr:rowOff>19050</xdr:rowOff>
    </xdr:from>
    <xdr:to>
      <xdr:col>16</xdr:col>
      <xdr:colOff>628650</xdr:colOff>
      <xdr:row>33</xdr:row>
      <xdr:rowOff>161925</xdr:rowOff>
    </xdr:to>
    <xdr:graphicFrame>
      <xdr:nvGraphicFramePr>
        <xdr:cNvPr id="2" name="图表 1"/>
        <xdr:cNvGraphicFramePr/>
      </xdr:nvGraphicFramePr>
      <xdr:xfrm>
        <a:off x="600075" y="1924050"/>
        <a:ext cx="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3175</xdr:colOff>
      <xdr:row>13</xdr:row>
      <xdr:rowOff>88900</xdr:rowOff>
    </xdr:from>
    <xdr:to>
      <xdr:col>23</xdr:col>
      <xdr:colOff>390525</xdr:colOff>
      <xdr:row>39</xdr:row>
      <xdr:rowOff>78740</xdr:rowOff>
    </xdr:to>
    <xdr:graphicFrame>
      <xdr:nvGraphicFramePr>
        <xdr:cNvPr id="2" name="Chart 1"/>
        <xdr:cNvGraphicFramePr/>
      </xdr:nvGraphicFramePr>
      <xdr:xfrm>
        <a:off x="12513310" y="2565400"/>
        <a:ext cx="8114030" cy="49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u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lub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lub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lub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lub1r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lub4r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lub7r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-0.00144522440437278</v>
          </cell>
          <cell r="C2">
            <v>0.000257373801981764</v>
          </cell>
          <cell r="D2">
            <v>-0.000442166262615284</v>
          </cell>
          <cell r="E2">
            <v>3.68378419324245e-5</v>
          </cell>
          <cell r="F2">
            <v>0.000254796275522828</v>
          </cell>
          <cell r="G2">
            <v>5.46215025876151e-5</v>
          </cell>
          <cell r="H2">
            <v>-9.60746989298045e-5</v>
          </cell>
          <cell r="I2">
            <v>-0.000149812109340175</v>
          </cell>
          <cell r="J2">
            <v>-4.27060605545648e-5</v>
          </cell>
          <cell r="K2">
            <v>0.000230127655731494</v>
          </cell>
          <cell r="L2">
            <v>0.000723531987234516</v>
          </cell>
          <cell r="M2">
            <v>0.00145627421221928</v>
          </cell>
          <cell r="N2">
            <v>0.00241571447525679</v>
          </cell>
          <cell r="O2">
            <v>0.00364377402701788</v>
          </cell>
          <cell r="P2">
            <v>0.00515318981670898</v>
          </cell>
          <cell r="Q2">
            <v>0.00691520208797591</v>
          </cell>
          <cell r="R2">
            <v>0.00932308435963591</v>
          </cell>
          <cell r="S2">
            <v>0.0119660142235523</v>
          </cell>
          <cell r="T2">
            <v>0.0149178485956858</v>
          </cell>
          <cell r="U2">
            <v>0.0184064023551533</v>
          </cell>
          <cell r="V2">
            <v>0.0218634170267462</v>
          </cell>
          <cell r="W2">
            <v>0.0264667889333881</v>
          </cell>
          <cell r="X2">
            <v>0.0310059628022108</v>
          </cell>
          <cell r="Y2">
            <v>0.0361775073373094</v>
          </cell>
        </row>
        <row r="3">
          <cell r="B3">
            <v>-0.104900402609542</v>
          </cell>
          <cell r="C3">
            <v>-0.184628551233124</v>
          </cell>
          <cell r="D3">
            <v>-0.249077436173362</v>
          </cell>
          <cell r="E3">
            <v>-0.298537652193498</v>
          </cell>
          <cell r="F3">
            <v>-0.336076575935607</v>
          </cell>
          <cell r="G3">
            <v>-0.364546862787296</v>
          </cell>
          <cell r="H3">
            <v>-0.385307151906122</v>
          </cell>
          <cell r="I3">
            <v>-0.399794123614072</v>
          </cell>
          <cell r="J3">
            <v>-0.409126453476549</v>
          </cell>
          <cell r="K3">
            <v>-0.414271529346477</v>
          </cell>
          <cell r="L3">
            <v>-0.416023813146804</v>
          </cell>
          <cell r="M3">
            <v>-0.415036115957379</v>
          </cell>
          <cell r="N3">
            <v>-0.411908435370945</v>
          </cell>
          <cell r="O3">
            <v>-0.407144288836703</v>
          </cell>
          <cell r="P3">
            <v>-0.400964796910985</v>
          </cell>
          <cell r="Q3">
            <v>-0.393815465770064</v>
          </cell>
          <cell r="R3">
            <v>-0.385447277983197</v>
          </cell>
          <cell r="S3">
            <v>-0.3765235126577</v>
          </cell>
          <cell r="T3">
            <v>-0.367203047533116</v>
          </cell>
          <cell r="U3">
            <v>-0.358727236998291</v>
          </cell>
          <cell r="V3">
            <v>-0.35039893298966</v>
          </cell>
          <cell r="W3">
            <v>-0.341479305747439</v>
          </cell>
          <cell r="X3">
            <v>-0.332803443205054</v>
          </cell>
          <cell r="Y3">
            <v>-0.324082866335129</v>
          </cell>
        </row>
      </sheetData>
      <sheetData sheetId="1">
        <row r="25">
          <cell r="B25">
            <v>-0.0783021264221473</v>
          </cell>
          <cell r="C25">
            <v>-0.37598291872708</v>
          </cell>
          <cell r="D25">
            <v>0.16962184539584</v>
          </cell>
          <cell r="E25">
            <v>0.465975331290958</v>
          </cell>
          <cell r="F25">
            <v>-7.91163944691142e-5</v>
          </cell>
          <cell r="G25">
            <v>-0.00409415171924721</v>
          </cell>
          <cell r="H25">
            <v>-0.299590390905968</v>
          </cell>
          <cell r="I25">
            <v>-0.205350353798994</v>
          </cell>
          <cell r="J25">
            <v>-0.0414279088661762</v>
          </cell>
          <cell r="K25">
            <v>-0.0227485841004516</v>
          </cell>
        </row>
      </sheetData>
      <sheetData sheetId="2"/>
      <sheetData sheetId="3"/>
      <sheetData sheetId="4"/>
      <sheetData sheetId="5">
        <row r="25">
          <cell r="B25">
            <v>0.752886152214582</v>
          </cell>
          <cell r="C25">
            <v>0.302885110635565</v>
          </cell>
          <cell r="D25">
            <v>0.620890621808279</v>
          </cell>
          <cell r="E25">
            <v>1.56997899203972</v>
          </cell>
          <cell r="F25">
            <v>0.438382117986347</v>
          </cell>
          <cell r="G25">
            <v>0.346233620241976</v>
          </cell>
          <cell r="H25">
            <v>1.32053313466891</v>
          </cell>
          <cell r="I25">
            <v>-2.63913628555996</v>
          </cell>
          <cell r="J25">
            <v>0.608284505192569</v>
          </cell>
          <cell r="K25">
            <v>0.754031273837885</v>
          </cell>
        </row>
      </sheetData>
      <sheetData sheetId="6">
        <row r="25">
          <cell r="B25">
            <v>-0.432353376945283</v>
          </cell>
          <cell r="C25">
            <v>-3.19193712556164</v>
          </cell>
          <cell r="D25">
            <v>2.20251232109516</v>
          </cell>
          <cell r="E25">
            <v>4.17099753617127</v>
          </cell>
          <cell r="F25">
            <v>0.498978949175544</v>
          </cell>
          <cell r="G25">
            <v>-0.0910206714743178</v>
          </cell>
          <cell r="H25">
            <v>-1.17941599704799</v>
          </cell>
          <cell r="I25">
            <v>-2.48870198094903</v>
          </cell>
          <cell r="J25">
            <v>-0.214336383821356</v>
          </cell>
          <cell r="K25">
            <v>0.441930644600097</v>
          </cell>
        </row>
      </sheetData>
      <sheetData sheetId="7"/>
      <sheetData sheetId="8"/>
      <sheetData sheetId="9"/>
      <sheetData sheetId="10">
        <row r="25">
          <cell r="B25">
            <v>0.206356507414229</v>
          </cell>
          <cell r="C25">
            <v>-0.314573854254285</v>
          </cell>
          <cell r="D25">
            <v>0.376326259507187</v>
          </cell>
          <cell r="E25">
            <v>0.665024140926684</v>
          </cell>
          <cell r="F25">
            <v>0.54460861908221</v>
          </cell>
          <cell r="G25">
            <v>0.472785354818717</v>
          </cell>
          <cell r="H25">
            <v>0.0191923644659031</v>
          </cell>
          <cell r="I25">
            <v>-13.9015733279919</v>
          </cell>
          <cell r="J25">
            <v>0.726779146958623</v>
          </cell>
          <cell r="K25">
            <v>0.508696268861852</v>
          </cell>
        </row>
      </sheetData>
      <sheetData sheetId="11"/>
      <sheetData sheetId="12"/>
      <sheetData sheetId="13">
        <row r="2">
          <cell r="A2">
            <v>27.79204627154</v>
          </cell>
          <cell r="B2">
            <v>30.1033987587355</v>
          </cell>
          <cell r="C2">
            <v>31.1578344514934</v>
          </cell>
          <cell r="D2">
            <v>32.4852863522943</v>
          </cell>
          <cell r="E2">
            <v>33.8272723107492</v>
          </cell>
          <cell r="F2">
            <v>35.1031646268665</v>
          </cell>
          <cell r="G2">
            <v>36.3893622928678</v>
          </cell>
          <cell r="H2">
            <v>37.6737717304082</v>
          </cell>
          <cell r="I2">
            <v>38.9524672882056</v>
          </cell>
          <cell r="J2">
            <v>40.2197584582668</v>
          </cell>
          <cell r="K2">
            <v>41.4666058093946</v>
          </cell>
          <cell r="L2">
            <v>42.6919100886635</v>
          </cell>
          <cell r="M2">
            <v>43.886184551884</v>
          </cell>
          <cell r="N2">
            <v>45.0455002612746</v>
          </cell>
          <cell r="O2">
            <v>46.1652790594961</v>
          </cell>
          <cell r="P2">
            <v>47.2339927809859</v>
          </cell>
          <cell r="Q2">
            <v>48.3150648618067</v>
          </cell>
          <cell r="R2">
            <v>49.3504223857577</v>
          </cell>
          <cell r="S2">
            <v>50.34398572567</v>
          </cell>
          <cell r="T2">
            <v>51.2663070807173</v>
          </cell>
          <cell r="U2">
            <v>52.1198432305788</v>
          </cell>
          <cell r="V2">
            <v>52.9971356029617</v>
          </cell>
          <cell r="W2">
            <v>53.8074935224673</v>
          </cell>
          <cell r="X2">
            <v>54.5969440548423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-0.00344870210379211</v>
          </cell>
          <cell r="C2">
            <v>-0.00455355723155693</v>
          </cell>
          <cell r="D2">
            <v>-0.00866800686607494</v>
          </cell>
          <cell r="E2">
            <v>-0.0120379456303832</v>
          </cell>
          <cell r="F2">
            <v>-0.0158891727084276</v>
          </cell>
          <cell r="G2">
            <v>-0.0203325265717313</v>
          </cell>
          <cell r="H2">
            <v>-0.0248261768526326</v>
          </cell>
          <cell r="I2">
            <v>-0.02927076962006</v>
          </cell>
          <cell r="J2">
            <v>-0.0335546060893921</v>
          </cell>
          <cell r="K2">
            <v>-0.0376259679703117</v>
          </cell>
          <cell r="L2">
            <v>-0.0414145840855196</v>
          </cell>
          <cell r="M2">
            <v>-0.0448705439090591</v>
          </cell>
          <cell r="N2">
            <v>-0.0479983688907892</v>
          </cell>
          <cell r="O2">
            <v>-0.0507434109892402</v>
          </cell>
          <cell r="P2">
            <v>-0.0530842412913013</v>
          </cell>
          <cell r="Q2">
            <v>-0.0550763320354863</v>
          </cell>
          <cell r="R2">
            <v>-0.0562354923166475</v>
          </cell>
          <cell r="S2">
            <v>-0.0570141757843423</v>
          </cell>
          <cell r="T2">
            <v>-0.0573558477066638</v>
          </cell>
          <cell r="U2">
            <v>-0.057144198338599</v>
          </cell>
          <cell r="V2">
            <v>-0.0569413040171107</v>
          </cell>
          <cell r="W2">
            <v>-0.0554742067007563</v>
          </cell>
          <cell r="X2">
            <v>-0.0540261715137214</v>
          </cell>
          <cell r="Y2">
            <v>-0.0519243515055279</v>
          </cell>
        </row>
        <row r="3">
          <cell r="B3">
            <v>-0.435222390864198</v>
          </cell>
          <cell r="C3">
            <v>-0.784686597721285</v>
          </cell>
          <cell r="D3">
            <v>-1.06651444419359</v>
          </cell>
          <cell r="E3">
            <v>-1.28844393334867</v>
          </cell>
          <cell r="F3">
            <v>-1.459829298628</v>
          </cell>
          <cell r="G3">
            <v>-1.59094870988123</v>
          </cell>
          <cell r="H3">
            <v>-1.68820896747285</v>
          </cell>
          <cell r="I3">
            <v>-1.75739093992064</v>
          </cell>
          <cell r="J3">
            <v>-1.8032245832788</v>
          </cell>
          <cell r="K3">
            <v>-1.82952158625672</v>
          </cell>
          <cell r="L3">
            <v>-1.83999545118765</v>
          </cell>
          <cell r="M3">
            <v>-1.83765878800144</v>
          </cell>
          <cell r="N3">
            <v>-1.82510428788946</v>
          </cell>
          <cell r="O3">
            <v>-1.80467128785778</v>
          </cell>
          <cell r="P3">
            <v>-1.77794395969718</v>
          </cell>
          <cell r="Q3">
            <v>-1.74597168044589</v>
          </cell>
          <cell r="R3">
            <v>-1.70896406746193</v>
          </cell>
          <cell r="S3">
            <v>-1.66881424449614</v>
          </cell>
          <cell r="T3">
            <v>-1.62669043759736</v>
          </cell>
          <cell r="U3">
            <v>-1.58878680007262</v>
          </cell>
          <cell r="V3">
            <v>-1.5509259281639</v>
          </cell>
          <cell r="W3">
            <v>-1.51198880509813</v>
          </cell>
          <cell r="X3">
            <v>-1.47367443339321</v>
          </cell>
          <cell r="Y3">
            <v>-1.43596854107717</v>
          </cell>
        </row>
      </sheetData>
      <sheetData sheetId="1">
        <row r="25">
          <cell r="B25">
            <v>-0.302016136903382</v>
          </cell>
          <cell r="C25">
            <v>-0.681256276341935</v>
          </cell>
          <cell r="D25">
            <v>0.165034825862476</v>
          </cell>
          <cell r="E25">
            <v>0.504923749587771</v>
          </cell>
          <cell r="F25">
            <v>-0.118226275388289</v>
          </cell>
          <cell r="G25">
            <v>-0.246870706345703</v>
          </cell>
          <cell r="H25">
            <v>-0.547223754258774</v>
          </cell>
          <cell r="I25">
            <v>-0.145991143641699</v>
          </cell>
          <cell r="J25">
            <v>-0.334668063922772</v>
          </cell>
          <cell r="K25">
            <v>-0.0401962131263867</v>
          </cell>
        </row>
      </sheetData>
      <sheetData sheetId="2"/>
      <sheetData sheetId="3"/>
      <sheetData sheetId="4"/>
      <sheetData sheetId="5">
        <row r="25">
          <cell r="B25">
            <v>-0.180804149932179</v>
          </cell>
          <cell r="C25">
            <v>-0.0471966982861671</v>
          </cell>
          <cell r="D25">
            <v>0.400632108406906</v>
          </cell>
          <cell r="E25">
            <v>1.66846189148342</v>
          </cell>
          <cell r="F25">
            <v>-0.438253531996569</v>
          </cell>
          <cell r="G25">
            <v>-1.07294992048872</v>
          </cell>
          <cell r="H25">
            <v>1.32235143764823</v>
          </cell>
          <cell r="I25">
            <v>-2.15252085244293</v>
          </cell>
          <cell r="J25">
            <v>-1.81449183421027</v>
          </cell>
          <cell r="K25">
            <v>0.711994945712924</v>
          </cell>
        </row>
      </sheetData>
      <sheetData sheetId="6">
        <row r="25">
          <cell r="B25">
            <v>-1.78004481678612</v>
          </cell>
          <cell r="C25">
            <v>-6.22283586722853</v>
          </cell>
          <cell r="D25">
            <v>2.06018531117866</v>
          </cell>
          <cell r="E25">
            <v>5.05077805791414</v>
          </cell>
          <cell r="F25">
            <v>-0.61910670774038</v>
          </cell>
          <cell r="G25">
            <v>-1.15990972075244</v>
          </cell>
          <cell r="H25">
            <v>-2.76700688069377</v>
          </cell>
          <cell r="I25">
            <v>-1.47903951477003</v>
          </cell>
          <cell r="J25">
            <v>-2.38144280086139</v>
          </cell>
          <cell r="K25">
            <v>0.56819628396334</v>
          </cell>
        </row>
      </sheetData>
      <sheetData sheetId="7"/>
      <sheetData sheetId="8"/>
      <sheetData sheetId="9"/>
      <sheetData sheetId="10">
        <row r="25">
          <cell r="B25">
            <v>-8.20699498937775</v>
          </cell>
          <cell r="C25">
            <v>-0.333697192749549</v>
          </cell>
          <cell r="D25">
            <v>1.74030527931501</v>
          </cell>
          <cell r="E25">
            <v>3.67321764359652</v>
          </cell>
          <cell r="F25">
            <v>2.09825620047259</v>
          </cell>
          <cell r="G25">
            <v>-16.1137938387488</v>
          </cell>
          <cell r="H25">
            <v>0.919759200705128</v>
          </cell>
          <cell r="I25">
            <v>-12.4367760222299</v>
          </cell>
          <cell r="J25">
            <v>-14.0870430568338</v>
          </cell>
          <cell r="K25">
            <v>2.53084033480901</v>
          </cell>
        </row>
      </sheetData>
      <sheetData sheetId="11"/>
      <sheetData sheetId="12"/>
      <sheetData sheetId="13">
        <row r="2">
          <cell r="A2">
            <v>21.4622309254466</v>
          </cell>
          <cell r="B2">
            <v>22.8362418036543</v>
          </cell>
          <cell r="C2">
            <v>24.0125430029065</v>
          </cell>
          <cell r="D2">
            <v>25.3234039116997</v>
          </cell>
          <cell r="E2">
            <v>26.7254271880813</v>
          </cell>
          <cell r="F2">
            <v>28.1638005268728</v>
          </cell>
          <cell r="G2">
            <v>29.6458973233892</v>
          </cell>
          <cell r="H2">
            <v>31.1587095725958</v>
          </cell>
          <cell r="I2">
            <v>32.6928503354268</v>
          </cell>
          <cell r="J2">
            <v>34.2416441692985</v>
          </cell>
          <cell r="K2">
            <v>35.7907667684346</v>
          </cell>
          <cell r="L2">
            <v>37.3315358082426</v>
          </cell>
          <cell r="M2">
            <v>38.8527414538292</v>
          </cell>
          <cell r="N2">
            <v>40.34422506885</v>
          </cell>
          <cell r="O2">
            <v>41.802265674806</v>
          </cell>
          <cell r="P2">
            <v>43.2208372498699</v>
          </cell>
          <cell r="Q2">
            <v>44.6274539680769</v>
          </cell>
          <cell r="R2">
            <v>45.9939093341138</v>
          </cell>
          <cell r="S2">
            <v>47.3140741994071</v>
          </cell>
          <cell r="T2">
            <v>48.5096890074622</v>
          </cell>
          <cell r="U2">
            <v>49.6377790562882</v>
          </cell>
          <cell r="V2">
            <v>50.7375358685459</v>
          </cell>
          <cell r="W2">
            <v>51.7761833272197</v>
          </cell>
          <cell r="X2">
            <v>52.7640324668392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-0.0069091228896645</v>
          </cell>
          <cell r="C2">
            <v>-0.0147661269565336</v>
          </cell>
          <cell r="D2">
            <v>-0.028668758284256</v>
          </cell>
          <cell r="E2">
            <v>-0.0445578967037563</v>
          </cell>
          <cell r="F2">
            <v>-0.0633336561736586</v>
          </cell>
          <cell r="G2">
            <v>-0.084968745795666</v>
          </cell>
          <cell r="H2">
            <v>-0.108771723677625</v>
          </cell>
          <cell r="I2">
            <v>-0.134507352779578</v>
          </cell>
          <cell r="J2">
            <v>-0.161925767627336</v>
          </cell>
          <cell r="K2">
            <v>-0.190865508448868</v>
          </cell>
          <cell r="L2">
            <v>-0.221090347081954</v>
          </cell>
          <cell r="M2">
            <v>-0.252383414162405</v>
          </cell>
          <cell r="N2">
            <v>-0.284586952006127</v>
          </cell>
          <cell r="O2">
            <v>-0.317453227135767</v>
          </cell>
          <cell r="P2">
            <v>-0.350838167445622</v>
          </cell>
          <cell r="Q2">
            <v>-0.384602162387337</v>
          </cell>
          <cell r="R2">
            <v>-0.417873655714829</v>
          </cell>
          <cell r="S2">
            <v>-0.450932187775355</v>
          </cell>
          <cell r="T2">
            <v>-0.48351712168514</v>
          </cell>
          <cell r="U2">
            <v>-0.51535157246464</v>
          </cell>
          <cell r="V2">
            <v>-0.546821360886451</v>
          </cell>
          <cell r="W2">
            <v>-0.576184587360817</v>
          </cell>
          <cell r="X2">
            <v>-0.604587494278785</v>
          </cell>
          <cell r="Y2">
            <v>-0.631097993357266</v>
          </cell>
        </row>
        <row r="3">
          <cell r="B3">
            <v>-1.69870492820283</v>
          </cell>
          <cell r="C3">
            <v>-3.19841610908559</v>
          </cell>
          <cell r="D3">
            <v>-4.5315934107097</v>
          </cell>
          <cell r="E3">
            <v>-5.70964643528144</v>
          </cell>
          <cell r="F3">
            <v>-6.74381680797883</v>
          </cell>
          <cell r="G3">
            <v>-7.65850180243986</v>
          </cell>
          <cell r="H3">
            <v>-8.46841297945131</v>
          </cell>
          <cell r="I3">
            <v>-9.18632992864399</v>
          </cell>
          <cell r="J3">
            <v>-9.82259608773999</v>
          </cell>
          <cell r="K3">
            <v>-10.3873692071632</v>
          </cell>
          <cell r="L3">
            <v>-10.8873010387681</v>
          </cell>
          <cell r="M3">
            <v>-11.32823394665</v>
          </cell>
          <cell r="N3">
            <v>-11.7159157139047</v>
          </cell>
          <cell r="O3">
            <v>-12.055249478801</v>
          </cell>
          <cell r="P3">
            <v>-12.352524811214</v>
          </cell>
          <cell r="Q3">
            <v>-12.6051433243626</v>
          </cell>
          <cell r="R3">
            <v>-12.8141049217376</v>
          </cell>
          <cell r="S3">
            <v>-12.9833342294904</v>
          </cell>
          <cell r="T3">
            <v>-13.1170549499411</v>
          </cell>
          <cell r="U3">
            <v>-13.2464597433507</v>
          </cell>
          <cell r="V3">
            <v>-13.3501460921088</v>
          </cell>
          <cell r="W3">
            <v>-13.4230761769193</v>
          </cell>
          <cell r="X3">
            <v>-13.4722855127645</v>
          </cell>
          <cell r="Y3">
            <v>-13.4986854005831</v>
          </cell>
        </row>
      </sheetData>
      <sheetData sheetId="1">
        <row r="25">
          <cell r="B25">
            <v>-0.416399859335759</v>
          </cell>
          <cell r="C25">
            <v>-1.39076455920362</v>
          </cell>
          <cell r="D25">
            <v>-1.3956810106473</v>
          </cell>
          <cell r="E25">
            <v>-0.388689594393021</v>
          </cell>
          <cell r="F25">
            <v>-0.382681890745451</v>
          </cell>
          <cell r="G25">
            <v>-0.269440615450001</v>
          </cell>
          <cell r="H25">
            <v>-1.23461083966236</v>
          </cell>
          <cell r="I25">
            <v>-0.0433786659892577</v>
          </cell>
          <cell r="J25">
            <v>-0.26507763369279</v>
          </cell>
          <cell r="K25">
            <v>-0.243871849946753</v>
          </cell>
        </row>
      </sheetData>
      <sheetData sheetId="2"/>
      <sheetData sheetId="3"/>
      <sheetData sheetId="4"/>
      <sheetData sheetId="5">
        <row r="25">
          <cell r="B25">
            <v>1.58517544591501</v>
          </cell>
          <cell r="C25">
            <v>-0.222842137987855</v>
          </cell>
          <cell r="D25">
            <v>-4.71906394140125</v>
          </cell>
          <cell r="E25">
            <v>-6.14679914439284</v>
          </cell>
          <cell r="F25">
            <v>-1.01547022043698</v>
          </cell>
          <cell r="G25">
            <v>-0.326677793721286</v>
          </cell>
          <cell r="H25">
            <v>1.30110853547101</v>
          </cell>
          <cell r="I25">
            <v>-1.76605360898773</v>
          </cell>
          <cell r="J25">
            <v>0.00283059508561223</v>
          </cell>
          <cell r="K25">
            <v>0.040375257534464</v>
          </cell>
        </row>
      </sheetData>
      <sheetData sheetId="6">
        <row r="25">
          <cell r="B25">
            <v>-2.0138625550703</v>
          </cell>
          <cell r="C25">
            <v>-12.7729804534477</v>
          </cell>
          <cell r="D25">
            <v>-0.556009448243833</v>
          </cell>
          <cell r="E25">
            <v>1.2037652814586</v>
          </cell>
          <cell r="F25">
            <v>-1.03718034207523</v>
          </cell>
          <cell r="G25">
            <v>-0.990507530229456</v>
          </cell>
          <cell r="H25">
            <v>-8.08517405185172</v>
          </cell>
          <cell r="I25">
            <v>-0.46322907901758</v>
          </cell>
          <cell r="J25">
            <v>-1.58098561186629</v>
          </cell>
          <cell r="K25">
            <v>-0.593934331572243</v>
          </cell>
        </row>
      </sheetData>
      <sheetData sheetId="7"/>
      <sheetData sheetId="8"/>
      <sheetData sheetId="9"/>
      <sheetData sheetId="10">
        <row r="25">
          <cell r="B25">
            <v>-7.41871901866834</v>
          </cell>
          <cell r="C25">
            <v>2.47032367553388</v>
          </cell>
          <cell r="D25">
            <v>-25.6286598989846</v>
          </cell>
          <cell r="E25">
            <v>-17.7247295101831</v>
          </cell>
          <cell r="F25">
            <v>-11.4946875573205</v>
          </cell>
          <cell r="G25">
            <v>-14.5505723088288</v>
          </cell>
          <cell r="H25">
            <v>2.74602991476707</v>
          </cell>
          <cell r="I25">
            <v>-10.3235583629264</v>
          </cell>
          <cell r="J25">
            <v>-10.831659569789</v>
          </cell>
          <cell r="K25">
            <v>9.4786429700952</v>
          </cell>
        </row>
      </sheetData>
      <sheetData sheetId="11"/>
      <sheetData sheetId="12"/>
      <sheetData sheetId="13">
        <row r="2">
          <cell r="A2">
            <v>7.19146104176691</v>
          </cell>
          <cell r="B2">
            <v>7.24728770670466</v>
          </cell>
          <cell r="C2">
            <v>7.26140326377741</v>
          </cell>
          <cell r="D2">
            <v>7.32319812317812</v>
          </cell>
          <cell r="E2">
            <v>7.4206497051027</v>
          </cell>
          <cell r="F2">
            <v>7.5388843385298</v>
          </cell>
          <cell r="G2">
            <v>7.67562018795958</v>
          </cell>
          <cell r="H2">
            <v>7.82726681708382</v>
          </cell>
          <cell r="I2">
            <v>7.99085622745816</v>
          </cell>
          <cell r="J2">
            <v>8.16150946266195</v>
          </cell>
          <cell r="K2">
            <v>8.33875453371003</v>
          </cell>
          <cell r="L2">
            <v>8.52153902932916</v>
          </cell>
          <cell r="M2">
            <v>8.70850270609807</v>
          </cell>
          <cell r="N2">
            <v>8.89836535206403</v>
          </cell>
          <cell r="O2">
            <v>9.0870828100289</v>
          </cell>
          <cell r="P2">
            <v>9.28241310420277</v>
          </cell>
          <cell r="Q2">
            <v>9.48177529152782</v>
          </cell>
          <cell r="R2">
            <v>9.68337991778645</v>
          </cell>
          <cell r="S2">
            <v>9.88586992406299</v>
          </cell>
          <cell r="T2">
            <v>10.0640136788703</v>
          </cell>
          <cell r="U2">
            <v>10.2403448732054</v>
          </cell>
          <cell r="V2">
            <v>10.4181037764821</v>
          </cell>
          <cell r="W2">
            <v>10.5917588473412</v>
          </cell>
          <cell r="X2">
            <v>10.7619194516219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-0.00598593392991953</v>
          </cell>
          <cell r="C2">
            <v>-0.0136838111840176</v>
          </cell>
          <cell r="D2">
            <v>-0.0281397748535861</v>
          </cell>
          <cell r="E2">
            <v>-0.0451607597040327</v>
          </cell>
          <cell r="F2">
            <v>-0.0655268484473503</v>
          </cell>
          <cell r="G2">
            <v>-0.0891376451591319</v>
          </cell>
          <cell r="H2">
            <v>-0.115231241236735</v>
          </cell>
          <cell r="I2">
            <v>-0.143513448761501</v>
          </cell>
          <cell r="J2">
            <v>-0.173683172770989</v>
          </cell>
          <cell r="K2">
            <v>-0.205538197404542</v>
          </cell>
          <cell r="L2">
            <v>-0.238798170523713</v>
          </cell>
          <cell r="M2">
            <v>-0.273213832235608</v>
          </cell>
          <cell r="N2">
            <v>-0.308603086224135</v>
          </cell>
          <cell r="O2">
            <v>-0.344696876143058</v>
          </cell>
          <cell r="P2">
            <v>-0.381315191485299</v>
          </cell>
          <cell r="Q2">
            <v>-0.418319678474144</v>
          </cell>
          <cell r="R2">
            <v>-0.45475353144343</v>
          </cell>
          <cell r="S2">
            <v>-0.490892921031816</v>
          </cell>
          <cell r="T2">
            <v>-0.52646886947173</v>
          </cell>
          <cell r="U2">
            <v>-0.561240965377308</v>
          </cell>
          <cell r="V2">
            <v>-0.595566038168394</v>
          </cell>
          <cell r="W2">
            <v>-0.627622883629164</v>
          </cell>
          <cell r="X2">
            <v>-0.658559695890093</v>
          </cell>
          <cell r="Y2">
            <v>-0.687425145657827</v>
          </cell>
        </row>
        <row r="3">
          <cell r="B3">
            <v>-2.11087901898026</v>
          </cell>
          <cell r="C3">
            <v>-3.99785566020892</v>
          </cell>
          <cell r="D3">
            <v>-5.6883451862919</v>
          </cell>
          <cell r="E3">
            <v>-7.190439437669</v>
          </cell>
          <cell r="F3">
            <v>-8.51545778114813</v>
          </cell>
          <cell r="G3">
            <v>-9.69162272884958</v>
          </cell>
          <cell r="H3">
            <v>-10.7367143843367</v>
          </cell>
          <cell r="I3">
            <v>-11.6666692846088</v>
          </cell>
          <cell r="J3">
            <v>-12.4944521188569</v>
          </cell>
          <cell r="K3">
            <v>-13.2315963774333</v>
          </cell>
          <cell r="L3">
            <v>-13.8875116795411</v>
          </cell>
          <cell r="M3">
            <v>-14.4698463293482</v>
          </cell>
          <cell r="N3">
            <v>-14.9862703435142</v>
          </cell>
          <cell r="O3">
            <v>-15.443213374052</v>
          </cell>
          <cell r="P3">
            <v>-15.846171155756</v>
          </cell>
          <cell r="Q3">
            <v>-16.1974329314953</v>
          </cell>
          <cell r="R3">
            <v>-16.4941513744373</v>
          </cell>
          <cell r="S3">
            <v>-16.7432822461815</v>
          </cell>
          <cell r="T3">
            <v>-16.9499444058374</v>
          </cell>
          <cell r="U3">
            <v>-17.1475981501243</v>
          </cell>
          <cell r="V3">
            <v>-17.3153694355483</v>
          </cell>
          <cell r="W3">
            <v>-17.4464982537128</v>
          </cell>
          <cell r="X3">
            <v>-17.5488243448642</v>
          </cell>
          <cell r="Y3">
            <v>-17.6236321091195</v>
          </cell>
        </row>
      </sheetData>
      <sheetData sheetId="1">
        <row r="25">
          <cell r="B25">
            <v>-0.504857979335527</v>
          </cell>
          <cell r="C25">
            <v>-2.99628130618405</v>
          </cell>
          <cell r="D25">
            <v>-1.37200145773602</v>
          </cell>
          <cell r="E25">
            <v>-0.199273775584063</v>
          </cell>
          <cell r="F25">
            <v>-0.315361643012768</v>
          </cell>
          <cell r="G25">
            <v>-0.296581403512197</v>
          </cell>
          <cell r="H25">
            <v>-1.39519394569656</v>
          </cell>
          <cell r="I25">
            <v>0.0336429857158427</v>
          </cell>
          <cell r="J25">
            <v>-0.252229304363494</v>
          </cell>
          <cell r="K25">
            <v>-0.583829037883699</v>
          </cell>
        </row>
      </sheetData>
      <sheetData sheetId="2"/>
      <sheetData sheetId="3"/>
      <sheetData sheetId="4"/>
      <sheetData sheetId="5">
        <row r="25">
          <cell r="B25">
            <v>2.33027142386473</v>
          </cell>
          <cell r="C25">
            <v>1.08147512624628</v>
          </cell>
          <cell r="D25">
            <v>-4.2426016626958</v>
          </cell>
          <cell r="E25">
            <v>-5.18834914003157</v>
          </cell>
          <cell r="F25">
            <v>-0.793115669939348</v>
          </cell>
          <cell r="G25">
            <v>-0.117594395107834</v>
          </cell>
          <cell r="H25">
            <v>3.60886641700071</v>
          </cell>
          <cell r="I25">
            <v>-1.554661234024</v>
          </cell>
          <cell r="J25">
            <v>0.523312023141553</v>
          </cell>
          <cell r="K25">
            <v>-0.910980338608824</v>
          </cell>
        </row>
      </sheetData>
      <sheetData sheetId="6">
        <row r="25">
          <cell r="B25">
            <v>-2.17596960419778</v>
          </cell>
          <cell r="C25">
            <v>-14.4593093693377</v>
          </cell>
          <cell r="D25">
            <v>0.320067630695475</v>
          </cell>
          <cell r="E25">
            <v>3.57177403757498</v>
          </cell>
          <cell r="F25">
            <v>-0.354318142138133</v>
          </cell>
          <cell r="G25">
            <v>-1.00957364051588</v>
          </cell>
          <cell r="H25">
            <v>-8.37776928333196</v>
          </cell>
          <cell r="I25">
            <v>0.425947481065303</v>
          </cell>
          <cell r="J25">
            <v>-1.16229765339311</v>
          </cell>
          <cell r="K25">
            <v>-1.19867073346364</v>
          </cell>
        </row>
      </sheetData>
      <sheetData sheetId="7"/>
      <sheetData sheetId="8"/>
      <sheetData sheetId="9"/>
      <sheetData sheetId="10">
        <row r="25">
          <cell r="B25">
            <v>-6.89683122587601</v>
          </cell>
          <cell r="C25">
            <v>-27.096278767495</v>
          </cell>
          <cell r="D25">
            <v>-24.6260607712227</v>
          </cell>
          <cell r="E25">
            <v>-15.3529665833276</v>
          </cell>
          <cell r="F25">
            <v>-9.33399336727672</v>
          </cell>
          <cell r="G25">
            <v>-13.4218657176324</v>
          </cell>
          <cell r="H25">
            <v>-14.8760499251953</v>
          </cell>
          <cell r="I25">
            <v>-7.89049003584997</v>
          </cell>
          <cell r="J25">
            <v>-8.44259078306774</v>
          </cell>
          <cell r="K25">
            <v>-10.8453000731212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-0.0563890970723846</v>
          </cell>
          <cell r="C2">
            <v>-0.0557439732720266</v>
          </cell>
          <cell r="D2">
            <v>-0.0572193411014221</v>
          </cell>
          <cell r="E2">
            <v>-0.0575991729869552</v>
          </cell>
          <cell r="F2">
            <v>-0.057984398527744</v>
          </cell>
          <cell r="G2">
            <v>-0.0586303610130789</v>
          </cell>
          <cell r="H2">
            <v>-0.0590867669116202</v>
          </cell>
          <cell r="I2">
            <v>-0.0593236229149419</v>
          </cell>
          <cell r="J2">
            <v>-0.0592877814749704</v>
          </cell>
          <cell r="K2">
            <v>-0.0590097059413819</v>
          </cell>
          <cell r="L2">
            <v>-0.0584332018317424</v>
          </cell>
          <cell r="M2">
            <v>-0.0575576125859456</v>
          </cell>
          <cell r="N2">
            <v>-0.0564076249468082</v>
          </cell>
          <cell r="O2">
            <v>-0.0549633846975595</v>
          </cell>
          <cell r="P2">
            <v>-0.0531649064388517</v>
          </cell>
          <cell r="Q2">
            <v>-0.0510639203168184</v>
          </cell>
          <cell r="R2">
            <v>-0.0483153830667438</v>
          </cell>
          <cell r="S2">
            <v>-0.0453184902191484</v>
          </cell>
          <cell r="T2">
            <v>-0.0419945038924174</v>
          </cell>
          <cell r="U2">
            <v>-0.0383811282733015</v>
          </cell>
          <cell r="V2">
            <v>-0.034849864181985</v>
          </cell>
          <cell r="W2">
            <v>-0.0301602439015891</v>
          </cell>
          <cell r="X2">
            <v>-0.0255752216592686</v>
          </cell>
          <cell r="Y2">
            <v>-0.0203873833003576</v>
          </cell>
        </row>
        <row r="3">
          <cell r="B3">
            <v>-0.306432520504518</v>
          </cell>
          <cell r="C3">
            <v>-0.364991296615136</v>
          </cell>
          <cell r="D3">
            <v>-0.410595071747455</v>
          </cell>
          <cell r="E3">
            <v>-0.443301090864523</v>
          </cell>
          <cell r="F3">
            <v>-0.465626013102693</v>
          </cell>
          <cell r="G3">
            <v>-0.480498630537851</v>
          </cell>
          <cell r="H3">
            <v>-0.489059128114877</v>
          </cell>
          <cell r="I3">
            <v>-0.492578212135875</v>
          </cell>
          <cell r="J3">
            <v>-0.492029079496825</v>
          </cell>
          <cell r="K3">
            <v>-0.488254030008262</v>
          </cell>
          <cell r="L3">
            <v>-0.481968416635425</v>
          </cell>
          <cell r="M3">
            <v>-0.47375167988658</v>
          </cell>
          <cell r="N3">
            <v>-0.464131306555826</v>
          </cell>
          <cell r="O3">
            <v>-0.453551557384468</v>
          </cell>
          <cell r="P3">
            <v>-0.442130446520905</v>
          </cell>
          <cell r="Q3">
            <v>-0.430325798006292</v>
          </cell>
          <cell r="R3">
            <v>-0.417764362188178</v>
          </cell>
          <cell r="S3">
            <v>-0.405118114697267</v>
          </cell>
          <cell r="T3">
            <v>-0.39249499308871</v>
          </cell>
          <cell r="U3">
            <v>-0.38119075147387</v>
          </cell>
          <cell r="V3">
            <v>-0.370383992089973</v>
          </cell>
          <cell r="W3">
            <v>-0.359244023921879</v>
          </cell>
          <cell r="X3">
            <v>-0.34861924045021</v>
          </cell>
          <cell r="Y3">
            <v>-0.338170755169287</v>
          </cell>
        </row>
      </sheetData>
      <sheetData sheetId="1">
        <row r="25">
          <cell r="B25">
            <v>-0.00553262192624082</v>
          </cell>
          <cell r="C25">
            <v>-0.222731551077704</v>
          </cell>
          <cell r="D25">
            <v>0.234722762408901</v>
          </cell>
          <cell r="E25">
            <v>0.511506480204393</v>
          </cell>
          <cell r="F25">
            <v>0.202760222382081</v>
          </cell>
          <cell r="G25">
            <v>0.0430978299242657</v>
          </cell>
          <cell r="H25">
            <v>-0.238406596927909</v>
          </cell>
          <cell r="I25">
            <v>-1.48947455970777</v>
          </cell>
          <cell r="J25">
            <v>0.239660043215095</v>
          </cell>
          <cell r="K25">
            <v>0.0717103908867589</v>
          </cell>
        </row>
      </sheetData>
      <sheetData sheetId="2"/>
      <sheetData sheetId="3"/>
      <sheetData sheetId="4"/>
      <sheetData sheetId="5">
        <row r="25">
          <cell r="B25">
            <v>0.457418455552294</v>
          </cell>
          <cell r="C25">
            <v>-0.852434320898987</v>
          </cell>
          <cell r="D25">
            <v>-0.238376643300553</v>
          </cell>
          <cell r="E25">
            <v>1.05527050439558</v>
          </cell>
          <cell r="F25">
            <v>0.123972582383303</v>
          </cell>
          <cell r="G25">
            <v>-0.80472221642548</v>
          </cell>
          <cell r="H25">
            <v>0.778446231957108</v>
          </cell>
          <cell r="I25">
            <v>-10.306980685865</v>
          </cell>
          <cell r="J25">
            <v>-2.15922944972898</v>
          </cell>
          <cell r="K25">
            <v>-0.331216566711856</v>
          </cell>
        </row>
      </sheetData>
      <sheetData sheetId="6">
        <row r="25">
          <cell r="B25">
            <v>-0.245710300107327</v>
          </cell>
          <cell r="C25">
            <v>-2.98778285750453</v>
          </cell>
          <cell r="D25">
            <v>1.8956760153469</v>
          </cell>
          <cell r="E25">
            <v>4.16866087357237</v>
          </cell>
          <cell r="F25">
            <v>0.701614958759555</v>
          </cell>
          <cell r="G25">
            <v>-0.372550013533324</v>
          </cell>
          <cell r="H25">
            <v>-1.16285193164508</v>
          </cell>
          <cell r="I25">
            <v>-18.1928998555291</v>
          </cell>
          <cell r="J25">
            <v>-1.06037627815107</v>
          </cell>
          <cell r="K25">
            <v>0.140567255413915</v>
          </cell>
        </row>
      </sheetData>
      <sheetData sheetId="7"/>
      <sheetData sheetId="8"/>
      <sheetData sheetId="9"/>
      <sheetData sheetId="10">
        <row r="25">
          <cell r="B25">
            <v>0.306466625187118</v>
          </cell>
          <cell r="C25">
            <v>0.0540683657367369</v>
          </cell>
          <cell r="D25">
            <v>0.497727708651974</v>
          </cell>
          <cell r="E25">
            <v>0.818609816222859</v>
          </cell>
          <cell r="F25">
            <v>1.02291967607067</v>
          </cell>
          <cell r="G25">
            <v>0.610885199355571</v>
          </cell>
          <cell r="H25">
            <v>0.257294557928733</v>
          </cell>
          <cell r="I25">
            <v>-17.1732254854485</v>
          </cell>
          <cell r="J25">
            <v>0.901018489825645</v>
          </cell>
          <cell r="K25">
            <v>0.697184867531231</v>
          </cell>
        </row>
      </sheetData>
      <sheetData sheetId="11"/>
      <sheetData sheetId="12"/>
      <sheetData sheetId="13">
        <row r="2">
          <cell r="A2">
            <v>31.0742211043708</v>
          </cell>
          <cell r="B2">
            <v>32.3687706183814</v>
          </cell>
          <cell r="C2">
            <v>33.3954425106791</v>
          </cell>
          <cell r="D2">
            <v>34.7239666078646</v>
          </cell>
          <cell r="E2">
            <v>36.187836134978</v>
          </cell>
          <cell r="F2">
            <v>37.6202471470681</v>
          </cell>
          <cell r="G2">
            <v>39.0644059777515</v>
          </cell>
          <cell r="H2">
            <v>40.5043587524492</v>
          </cell>
          <cell r="I2">
            <v>41.934817992681</v>
          </cell>
          <cell r="J2">
            <v>43.3517152248385</v>
          </cell>
          <cell r="K2">
            <v>44.74144620735</v>
          </cell>
          <cell r="L2">
            <v>46.1025522910639</v>
          </cell>
          <cell r="M2">
            <v>47.4255608863398</v>
          </cell>
          <cell r="N2">
            <v>48.7046347379524</v>
          </cell>
          <cell r="O2">
            <v>49.9356298752884</v>
          </cell>
          <cell r="P2">
            <v>51.1027182040263</v>
          </cell>
          <cell r="Q2">
            <v>52.2749062904999</v>
          </cell>
          <cell r="R2">
            <v>53.3937656525945</v>
          </cell>
          <cell r="S2">
            <v>54.4609655318249</v>
          </cell>
          <cell r="T2">
            <v>55.4388852292033</v>
          </cell>
          <cell r="U2">
            <v>56.3372495055787</v>
          </cell>
          <cell r="V2">
            <v>57.2479419357356</v>
          </cell>
          <cell r="W2">
            <v>58.0843450820678</v>
          </cell>
          <cell r="X2">
            <v>58.8899729462678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-0.096597649081509</v>
          </cell>
          <cell r="C2">
            <v>-0.106405343850224</v>
          </cell>
          <cell r="D2">
            <v>-0.118561552840424</v>
          </cell>
          <cell r="E2">
            <v>-0.129474889842329</v>
          </cell>
          <cell r="F2">
            <v>-0.140383034220404</v>
          </cell>
          <cell r="G2">
            <v>-0.151359254752337</v>
          </cell>
          <cell r="H2">
            <v>-0.161881399092456</v>
          </cell>
          <cell r="I2">
            <v>-0.171874755722834</v>
          </cell>
          <cell r="J2">
            <v>-0.181256714620515</v>
          </cell>
          <cell r="K2">
            <v>-0.18998938101592</v>
          </cell>
          <cell r="L2">
            <v>-0.198044866508429</v>
          </cell>
          <cell r="M2">
            <v>-0.20540747128085</v>
          </cell>
          <cell r="N2">
            <v>-0.212095976921978</v>
          </cell>
          <cell r="O2">
            <v>-0.218084837072008</v>
          </cell>
          <cell r="P2">
            <v>-0.223338999053746</v>
          </cell>
          <cell r="Q2">
            <v>-0.227903943958196</v>
          </cell>
          <cell r="R2">
            <v>-0.23139150888043</v>
          </cell>
          <cell r="S2">
            <v>-0.234225133413346</v>
          </cell>
          <cell r="T2">
            <v>-0.236367784929059</v>
          </cell>
          <cell r="U2">
            <v>-0.237956598361777</v>
          </cell>
          <cell r="V2">
            <v>-0.239351992077885</v>
          </cell>
          <cell r="W2">
            <v>-0.239321147568927</v>
          </cell>
          <cell r="X2">
            <v>-0.2391602180981</v>
          </cell>
          <cell r="Y2">
            <v>-0.23820999890477</v>
          </cell>
        </row>
        <row r="3">
          <cell r="B3">
            <v>-0.837045089443444</v>
          </cell>
          <cell r="C3">
            <v>-1.17343497082657</v>
          </cell>
          <cell r="D3">
            <v>-1.44282941132391</v>
          </cell>
          <cell r="E3">
            <v>-1.65308423127883</v>
          </cell>
          <cell r="F3">
            <v>-1.8136728369271</v>
          </cell>
          <cell r="G3">
            <v>-1.93468477810095</v>
          </cell>
          <cell r="H3">
            <v>-2.02243375045386</v>
          </cell>
          <cell r="I3">
            <v>-2.08257233886534</v>
          </cell>
          <cell r="J3">
            <v>-2.11975302699579</v>
          </cell>
          <cell r="K3">
            <v>-2.13773122136528</v>
          </cell>
          <cell r="L3">
            <v>-2.14020913135133</v>
          </cell>
          <cell r="M3">
            <v>-2.13016873629246</v>
          </cell>
          <cell r="N3">
            <v>-2.11019887863181</v>
          </cell>
          <cell r="O3">
            <v>-2.08264593327735</v>
          </cell>
          <cell r="P3">
            <v>-2.04907307421633</v>
          </cell>
          <cell r="Q3">
            <v>-2.01046410411561</v>
          </cell>
          <cell r="R3">
            <v>-1.96705185533352</v>
          </cell>
          <cell r="S3">
            <v>-1.92075436730679</v>
          </cell>
          <cell r="T3">
            <v>-1.87270063102607</v>
          </cell>
          <cell r="U3">
            <v>-1.8294167653355</v>
          </cell>
          <cell r="V3">
            <v>-1.78636127697052</v>
          </cell>
          <cell r="W3">
            <v>-1.74246947329901</v>
          </cell>
          <cell r="X3">
            <v>-1.69944484610872</v>
          </cell>
          <cell r="Y3">
            <v>-1.65725753195669</v>
          </cell>
        </row>
      </sheetData>
      <sheetData sheetId="1">
        <row r="25">
          <cell r="B25">
            <v>-0.465564189697421</v>
          </cell>
          <cell r="C25">
            <v>-0.632610511838105</v>
          </cell>
          <cell r="D25">
            <v>0.219098313755595</v>
          </cell>
          <cell r="E25">
            <v>0.479851428078715</v>
          </cell>
          <cell r="F25">
            <v>0.149251880662327</v>
          </cell>
          <cell r="G25">
            <v>-0.746442719767826</v>
          </cell>
          <cell r="H25">
            <v>-0.455148588552878</v>
          </cell>
          <cell r="I25">
            <v>-0.71151306712206</v>
          </cell>
          <cell r="J25">
            <v>-1.04039731999188</v>
          </cell>
          <cell r="K25">
            <v>0.0480821181859659</v>
          </cell>
        </row>
      </sheetData>
      <sheetData sheetId="2"/>
      <sheetData sheetId="3"/>
      <sheetData sheetId="4"/>
      <sheetData sheetId="5">
        <row r="25">
          <cell r="B25">
            <v>0.283451048753025</v>
          </cell>
          <cell r="C25">
            <v>-2.84965627236665</v>
          </cell>
          <cell r="D25">
            <v>-4.36793437529428</v>
          </cell>
          <cell r="E25">
            <v>-0.743907896874041</v>
          </cell>
          <cell r="F25">
            <v>-10.4134026974936</v>
          </cell>
          <cell r="G25">
            <v>-6.30332202885751</v>
          </cell>
          <cell r="H25">
            <v>-0.722054770421998</v>
          </cell>
          <cell r="I25">
            <v>-5.66036617231982</v>
          </cell>
          <cell r="J25">
            <v>-5.93769440111872</v>
          </cell>
          <cell r="K25">
            <v>-3.64322593649627</v>
          </cell>
        </row>
      </sheetData>
      <sheetData sheetId="6">
        <row r="25">
          <cell r="B25">
            <v>-2.04069400067088</v>
          </cell>
          <cell r="C25">
            <v>-6.78127991784273</v>
          </cell>
          <cell r="D25">
            <v>-0.720090562492626</v>
          </cell>
          <cell r="E25">
            <v>3.79032999126667</v>
          </cell>
          <cell r="F25">
            <v>-8.25731325004492</v>
          </cell>
          <cell r="G25">
            <v>-9.05949662711982</v>
          </cell>
          <cell r="H25">
            <v>-3.21197065058547</v>
          </cell>
          <cell r="I25">
            <v>-7.96731290149519</v>
          </cell>
          <cell r="J25">
            <v>-9.50630320402058</v>
          </cell>
          <cell r="K25">
            <v>-1.83989309124577</v>
          </cell>
        </row>
      </sheetData>
      <sheetData sheetId="7"/>
      <sheetData sheetId="8"/>
      <sheetData sheetId="9"/>
      <sheetData sheetId="10">
        <row r="25">
          <cell r="B25">
            <v>-8.5026584769577</v>
          </cell>
          <cell r="C25">
            <v>0.0729368570060229</v>
          </cell>
          <cell r="D25">
            <v>1.76085757881586</v>
          </cell>
          <cell r="E25">
            <v>3.70147923705659</v>
          </cell>
          <cell r="F25">
            <v>0.767059586469321</v>
          </cell>
          <cell r="G25">
            <v>-16.9461396966217</v>
          </cell>
          <cell r="H25">
            <v>1.36176773532746</v>
          </cell>
          <cell r="I25">
            <v>-14.1732005688022</v>
          </cell>
          <cell r="J25">
            <v>-15.7876354865885</v>
          </cell>
          <cell r="K25">
            <v>2.49298640004656</v>
          </cell>
        </row>
      </sheetData>
      <sheetData sheetId="11"/>
      <sheetData sheetId="12"/>
      <sheetData sheetId="13">
        <row r="2">
          <cell r="A2">
            <v>9.88159207234861</v>
          </cell>
          <cell r="B2">
            <v>15.2180136304219</v>
          </cell>
          <cell r="C2">
            <v>18.1718120477425</v>
          </cell>
          <cell r="D2">
            <v>20.4503375800926</v>
          </cell>
          <cell r="E2">
            <v>22.4595058620675</v>
          </cell>
          <cell r="F2">
            <v>24.3038122380985</v>
          </cell>
          <cell r="G2">
            <v>26.0661973523051</v>
          </cell>
          <cell r="H2">
            <v>27.7783392950255</v>
          </cell>
          <cell r="I2">
            <v>29.4571933908945</v>
          </cell>
          <cell r="J2">
            <v>31.1100737005507</v>
          </cell>
          <cell r="K2">
            <v>32.7347368277354</v>
          </cell>
          <cell r="L2">
            <v>34.3316125329896</v>
          </cell>
          <cell r="M2">
            <v>35.8933078009472</v>
          </cell>
          <cell r="N2">
            <v>37.4137001762246</v>
          </cell>
          <cell r="O2">
            <v>38.8889362861394</v>
          </cell>
          <cell r="P2">
            <v>40.3182434237962</v>
          </cell>
          <cell r="Q2">
            <v>41.7280948109106</v>
          </cell>
          <cell r="R2">
            <v>43.0920979489896</v>
          </cell>
          <cell r="S2">
            <v>44.4065234815181</v>
          </cell>
          <cell r="T2">
            <v>45.5988519336936</v>
          </cell>
          <cell r="U2">
            <v>46.7224566632332</v>
          </cell>
          <cell r="V2">
            <v>47.8147705113547</v>
          </cell>
          <cell r="W2">
            <v>48.8437410402154</v>
          </cell>
          <cell r="X2">
            <v>49.8198252198964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World"/>
      <sheetName val="GDPR"/>
      <sheetName val="CON"/>
      <sheetName val="INV"/>
      <sheetName val="GOV"/>
      <sheetName val="EXP"/>
      <sheetName val="IMP"/>
      <sheetName val="util"/>
      <sheetName val="LS"/>
      <sheetName val="GG"/>
      <sheetName val="CO2"/>
      <sheetName val="CO2HH"/>
      <sheetName val="CO2IND"/>
      <sheetName val="leak"/>
      <sheetName val="leak_HH"/>
      <sheetName val="leak_IND"/>
      <sheetName val="world_CON"/>
      <sheetName val="world_INV"/>
      <sheetName val="world_GOV"/>
      <sheetName val="world_EXP"/>
      <sheetName val="world_IMP"/>
      <sheetName val="world_FUEL"/>
      <sheetName val="d_CO2FUEL"/>
      <sheetName val="d_ERT"/>
      <sheetName val="d40_Q"/>
      <sheetName val="d40_MX"/>
      <sheetName val="d40_EX"/>
      <sheetName val="EXP_RL_2040"/>
      <sheetName val="EXP_NRL_2040"/>
      <sheetName val="Trade_flow_com"/>
      <sheetName val="CBA_flow_com"/>
      <sheetName val="CRP_flow_com"/>
      <sheetName val="NMM_flow_com"/>
      <sheetName val="MET_flow_com"/>
      <sheetName val="NFM_flow_com"/>
      <sheetName val="PCP_flow_com"/>
    </sheetNames>
    <sheetDataSet>
      <sheetData sheetId="0">
        <row r="2">
          <cell r="B2">
            <v>-0.0877465462315041</v>
          </cell>
          <cell r="C2">
            <v>-0.103564059329631</v>
          </cell>
          <cell r="D2">
            <v>-0.125492618857503</v>
          </cell>
          <cell r="E2">
            <v>-0.149319474493259</v>
          </cell>
          <cell r="F2">
            <v>-0.176016629872</v>
          </cell>
          <cell r="G2">
            <v>-0.205477622883821</v>
          </cell>
          <cell r="H2">
            <v>-0.237015473568336</v>
          </cell>
          <cell r="I2">
            <v>-0.270390632859385</v>
          </cell>
          <cell r="J2">
            <v>-0.305347847426496</v>
          </cell>
          <cell r="K2">
            <v>-0.341720161763359</v>
          </cell>
          <cell r="L2">
            <v>-0.379262389404567</v>
          </cell>
          <cell r="M2">
            <v>-0.417757002469699</v>
          </cell>
          <cell r="N2">
            <v>-0.457039105136736</v>
          </cell>
          <cell r="O2">
            <v>-0.496855308519972</v>
          </cell>
          <cell r="P2">
            <v>-0.537060932145672</v>
          </cell>
          <cell r="Q2">
            <v>-0.577508084712686</v>
          </cell>
          <cell r="R2">
            <v>-0.617336740589536</v>
          </cell>
          <cell r="S2">
            <v>-0.656807870681997</v>
          </cell>
          <cell r="T2">
            <v>-0.695657849278108</v>
          </cell>
          <cell r="U2">
            <v>-0.733581276168793</v>
          </cell>
          <cell r="V2">
            <v>-0.770971936619214</v>
          </cell>
          <cell r="W2">
            <v>-0.806098146555168</v>
          </cell>
          <cell r="X2">
            <v>-0.840089955444701</v>
          </cell>
          <cell r="Y2">
            <v>-0.872016719928348</v>
          </cell>
        </row>
        <row r="3">
          <cell r="B3">
            <v>-2.2177348095321</v>
          </cell>
          <cell r="C3">
            <v>-3.70422537521284</v>
          </cell>
          <cell r="D3">
            <v>-5.02723755706588</v>
          </cell>
          <cell r="E3">
            <v>-6.19663664192702</v>
          </cell>
          <cell r="F3">
            <v>-7.22364268408766</v>
          </cell>
          <cell r="G3">
            <v>-8.13247908870531</v>
          </cell>
          <cell r="H3">
            <v>-8.93759852776316</v>
          </cell>
          <cell r="I3">
            <v>-9.65154429834149</v>
          </cell>
          <cell r="J3">
            <v>-10.2844819419617</v>
          </cell>
          <cell r="K3">
            <v>-10.8464289897987</v>
          </cell>
          <cell r="L3">
            <v>-11.3439518451568</v>
          </cell>
          <cell r="M3">
            <v>-11.7828211716797</v>
          </cell>
          <cell r="N3">
            <v>-12.168716268889</v>
          </cell>
          <cell r="O3">
            <v>-12.5064970603364</v>
          </cell>
          <cell r="P3">
            <v>-12.8023882411123</v>
          </cell>
          <cell r="Q3">
            <v>-13.0538285638982</v>
          </cell>
          <cell r="R3">
            <v>-13.2616534560543</v>
          </cell>
          <cell r="S3">
            <v>-13.4298022329228</v>
          </cell>
          <cell r="T3">
            <v>-13.5624757241984</v>
          </cell>
          <cell r="U3">
            <v>-13.690939553325</v>
          </cell>
          <cell r="V3">
            <v>-13.7937018225335</v>
          </cell>
          <cell r="W3">
            <v>-13.8656252465299</v>
          </cell>
          <cell r="X3">
            <v>-13.9137521640339</v>
          </cell>
          <cell r="Y3">
            <v>-13.9389777575193</v>
          </cell>
        </row>
      </sheetData>
      <sheetData sheetId="1">
        <row r="25">
          <cell r="B25">
            <v>-0.42651696232775</v>
          </cell>
          <cell r="C25">
            <v>-1.44570269813625</v>
          </cell>
          <cell r="D25">
            <v>-1.72777558229298</v>
          </cell>
          <cell r="E25">
            <v>-0.839151696678087</v>
          </cell>
          <cell r="F25">
            <v>-0.462784922450132</v>
          </cell>
          <cell r="G25">
            <v>-0.397242206364157</v>
          </cell>
          <cell r="H25">
            <v>-1.19961521247925</v>
          </cell>
          <cell r="I25">
            <v>-0.274142462464655</v>
          </cell>
          <cell r="J25">
            <v>-0.504191404523269</v>
          </cell>
          <cell r="K25">
            <v>-0.482347976977715</v>
          </cell>
        </row>
      </sheetData>
      <sheetData sheetId="2"/>
      <sheetData sheetId="3"/>
      <sheetData sheetId="4"/>
      <sheetData sheetId="5">
        <row r="25">
          <cell r="B25">
            <v>1.62288170295664</v>
          </cell>
          <cell r="C25">
            <v>-4.8916181267783</v>
          </cell>
          <cell r="D25">
            <v>-8.19648233830065</v>
          </cell>
          <cell r="E25">
            <v>-8.09034300218187</v>
          </cell>
          <cell r="F25">
            <v>-0.73281929985638</v>
          </cell>
          <cell r="G25">
            <v>-1.5592146522073</v>
          </cell>
          <cell r="H25">
            <v>-3.56059226734938</v>
          </cell>
          <cell r="I25">
            <v>-3.09047149493536</v>
          </cell>
          <cell r="J25">
            <v>-1.18245154632645</v>
          </cell>
          <cell r="K25">
            <v>-13.1447795249061</v>
          </cell>
        </row>
      </sheetData>
      <sheetData sheetId="6">
        <row r="25">
          <cell r="B25">
            <v>-2.02559640441461</v>
          </cell>
          <cell r="C25">
            <v>-15.1407199949805</v>
          </cell>
          <cell r="D25">
            <v>-6.07361876256044</v>
          </cell>
          <cell r="E25">
            <v>-2.53594712042119</v>
          </cell>
          <cell r="F25">
            <v>-0.800071168278027</v>
          </cell>
          <cell r="G25">
            <v>-2.83735417749071</v>
          </cell>
          <cell r="H25">
            <v>-10.7465552550679</v>
          </cell>
          <cell r="I25">
            <v>-3.05079944013347</v>
          </cell>
          <cell r="J25">
            <v>-3.56240169393113</v>
          </cell>
          <cell r="K25">
            <v>-10.7750945879778</v>
          </cell>
        </row>
      </sheetData>
      <sheetData sheetId="7"/>
      <sheetData sheetId="8"/>
      <sheetData sheetId="9"/>
      <sheetData sheetId="10">
        <row r="25">
          <cell r="B25">
            <v>-7.52065341096917</v>
          </cell>
          <cell r="C25">
            <v>3.18105844686185</v>
          </cell>
          <cell r="D25">
            <v>-26.1402097613534</v>
          </cell>
          <cell r="E25">
            <v>-18.4934450576726</v>
          </cell>
          <cell r="F25">
            <v>-11.7045455631032</v>
          </cell>
          <cell r="G25">
            <v>-14.8873706879606</v>
          </cell>
          <cell r="H25">
            <v>3.64117115808571</v>
          </cell>
          <cell r="I25">
            <v>-11.5023404438296</v>
          </cell>
          <cell r="J25">
            <v>-11.7175689144333</v>
          </cell>
          <cell r="K25">
            <v>8.84231260613742</v>
          </cell>
        </row>
      </sheetData>
      <sheetData sheetId="11"/>
      <sheetData sheetId="12"/>
      <sheetData sheetId="13">
        <row r="2">
          <cell r="A2">
            <v>3.84994020212707</v>
          </cell>
          <cell r="B2">
            <v>5.29482670456412</v>
          </cell>
          <cell r="C2">
            <v>5.84185944857927</v>
          </cell>
          <cell r="D2">
            <v>6.18945688276334</v>
          </cell>
          <cell r="E2">
            <v>6.46880062239849</v>
          </cell>
          <cell r="F2">
            <v>6.71123567374163</v>
          </cell>
          <cell r="G2">
            <v>6.93834671932974</v>
          </cell>
          <cell r="H2">
            <v>7.15876746952429</v>
          </cell>
          <cell r="I2">
            <v>7.37671823073742</v>
          </cell>
          <cell r="J2">
            <v>7.59117830835265</v>
          </cell>
          <cell r="K2">
            <v>7.80490277224862</v>
          </cell>
          <cell r="L2">
            <v>8.01884162050045</v>
          </cell>
          <cell r="M2">
            <v>8.23277613527136</v>
          </cell>
          <cell r="N2">
            <v>8.44642658646265</v>
          </cell>
          <cell r="O2">
            <v>8.65616292190849</v>
          </cell>
          <cell r="P2">
            <v>8.87064640701099</v>
          </cell>
          <cell r="Q2">
            <v>9.08813926712469</v>
          </cell>
          <cell r="R2">
            <v>9.30721790553583</v>
          </cell>
          <cell r="S2">
            <v>9.52660936956267</v>
          </cell>
          <cell r="T2">
            <v>9.72088009685986</v>
          </cell>
          <cell r="U2">
            <v>9.91271099781222</v>
          </cell>
          <cell r="V2">
            <v>10.1069965488611</v>
          </cell>
          <cell r="W2">
            <v>10.2974302780138</v>
          </cell>
          <cell r="X2">
            <v>10.4850372853147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zoomScale="85" zoomScaleNormal="85" workbookViewId="0">
      <selection activeCell="A2" sqref="A2:A8"/>
    </sheetView>
  </sheetViews>
  <sheetFormatPr defaultColWidth="9" defaultRowHeight="15" outlineLevelRow="7"/>
  <cols>
    <col min="2" max="24" width="14" hidden="1" customWidth="1"/>
    <col min="25" max="25" width="14"/>
  </cols>
  <sheetData>
    <row r="1" s="9" customFormat="1" spans="1:25">
      <c r="A1" s="30"/>
      <c r="B1" s="30">
        <v>2017</v>
      </c>
      <c r="C1" s="30">
        <v>2018</v>
      </c>
      <c r="D1" s="30">
        <v>2019</v>
      </c>
      <c r="E1" s="30">
        <v>2020</v>
      </c>
      <c r="F1" s="30">
        <v>2021</v>
      </c>
      <c r="G1" s="30">
        <v>2022</v>
      </c>
      <c r="H1" s="30">
        <v>2023</v>
      </c>
      <c r="I1" s="30">
        <v>2024</v>
      </c>
      <c r="J1" s="30">
        <v>2025</v>
      </c>
      <c r="K1" s="30">
        <v>2026</v>
      </c>
      <c r="L1" s="30">
        <v>2027</v>
      </c>
      <c r="M1" s="30">
        <v>2028</v>
      </c>
      <c r="N1" s="30">
        <v>2029</v>
      </c>
      <c r="O1" s="30">
        <v>2030</v>
      </c>
      <c r="P1" s="30">
        <v>2031</v>
      </c>
      <c r="Q1" s="30">
        <v>2032</v>
      </c>
      <c r="R1" s="30">
        <v>2033</v>
      </c>
      <c r="S1" s="30">
        <v>2034</v>
      </c>
      <c r="T1" s="30">
        <v>2035</v>
      </c>
      <c r="U1" s="30">
        <v>2036</v>
      </c>
      <c r="V1" s="30">
        <v>2037</v>
      </c>
      <c r="W1" s="30">
        <v>2038</v>
      </c>
      <c r="X1" s="30">
        <v>2039</v>
      </c>
      <c r="Y1" s="30">
        <v>2040</v>
      </c>
    </row>
    <row r="2" spans="1:25">
      <c r="A2" s="4" t="s">
        <v>0</v>
      </c>
      <c r="B2" s="5">
        <f>[1]World!B2</f>
        <v>-0.00144522440437278</v>
      </c>
      <c r="C2" s="5">
        <f>[1]World!C2</f>
        <v>0.000257373801981764</v>
      </c>
      <c r="D2" s="5">
        <f>[1]World!D2</f>
        <v>-0.000442166262615284</v>
      </c>
      <c r="E2" s="5">
        <f>[1]World!E2</f>
        <v>3.68378419324245e-5</v>
      </c>
      <c r="F2" s="5">
        <f>[1]World!F2</f>
        <v>0.000254796275522828</v>
      </c>
      <c r="G2" s="5">
        <f>[1]World!G2</f>
        <v>5.46215025876151e-5</v>
      </c>
      <c r="H2" s="5">
        <f>[1]World!H2</f>
        <v>-9.60746989298045e-5</v>
      </c>
      <c r="I2" s="5">
        <f>[1]World!I2</f>
        <v>-0.000149812109340175</v>
      </c>
      <c r="J2" s="5">
        <f>[1]World!J2</f>
        <v>-4.27060605545648e-5</v>
      </c>
      <c r="K2" s="5">
        <f>[1]World!K2</f>
        <v>0.000230127655731494</v>
      </c>
      <c r="L2" s="5">
        <f>[1]World!L2</f>
        <v>0.000723531987234516</v>
      </c>
      <c r="M2" s="5">
        <f>[1]World!M2</f>
        <v>0.00145627421221928</v>
      </c>
      <c r="N2" s="5">
        <f>[1]World!N2</f>
        <v>0.00241571447525679</v>
      </c>
      <c r="O2" s="5">
        <f>[1]World!O2</f>
        <v>0.00364377402701788</v>
      </c>
      <c r="P2" s="5">
        <f>[1]World!P2</f>
        <v>0.00515318981670898</v>
      </c>
      <c r="Q2" s="5">
        <f>[1]World!Q2</f>
        <v>0.00691520208797591</v>
      </c>
      <c r="R2" s="5">
        <f>[1]World!R2</f>
        <v>0.00932308435963591</v>
      </c>
      <c r="S2" s="5">
        <f>[1]World!S2</f>
        <v>0.0119660142235523</v>
      </c>
      <c r="T2" s="5">
        <f>[1]World!T2</f>
        <v>0.0149178485956858</v>
      </c>
      <c r="U2" s="5">
        <f>[1]World!U2</f>
        <v>0.0184064023551533</v>
      </c>
      <c r="V2" s="5">
        <f>[1]World!V2</f>
        <v>0.0218634170267462</v>
      </c>
      <c r="W2" s="5">
        <f>[1]World!W2</f>
        <v>0.0264667889333881</v>
      </c>
      <c r="X2" s="5">
        <f>[1]World!X2</f>
        <v>0.0310059628022108</v>
      </c>
      <c r="Y2" s="5">
        <f>[1]World!Y2</f>
        <v>0.0361775073373094</v>
      </c>
    </row>
    <row r="3" spans="1:25">
      <c r="A3" s="4" t="s">
        <v>1</v>
      </c>
      <c r="B3" s="5">
        <f>[2]World!B2</f>
        <v>-0.00344870210379211</v>
      </c>
      <c r="C3" s="5">
        <f>[2]World!C2</f>
        <v>-0.00455355723155693</v>
      </c>
      <c r="D3" s="5">
        <f>[2]World!D2</f>
        <v>-0.00866800686607494</v>
      </c>
      <c r="E3" s="5">
        <f>[2]World!E2</f>
        <v>-0.0120379456303832</v>
      </c>
      <c r="F3" s="5">
        <f>[2]World!F2</f>
        <v>-0.0158891727084276</v>
      </c>
      <c r="G3" s="5">
        <f>[2]World!G2</f>
        <v>-0.0203325265717313</v>
      </c>
      <c r="H3" s="5">
        <f>[2]World!H2</f>
        <v>-0.0248261768526326</v>
      </c>
      <c r="I3" s="5">
        <f>[2]World!I2</f>
        <v>-0.02927076962006</v>
      </c>
      <c r="J3" s="5">
        <f>[2]World!J2</f>
        <v>-0.0335546060893921</v>
      </c>
      <c r="K3" s="5">
        <f>[2]World!K2</f>
        <v>-0.0376259679703117</v>
      </c>
      <c r="L3" s="5">
        <f>[2]World!L2</f>
        <v>-0.0414145840855196</v>
      </c>
      <c r="M3" s="5">
        <f>[2]World!M2</f>
        <v>-0.0448705439090591</v>
      </c>
      <c r="N3" s="5">
        <f>[2]World!N2</f>
        <v>-0.0479983688907892</v>
      </c>
      <c r="O3" s="5">
        <f>[2]World!O2</f>
        <v>-0.0507434109892402</v>
      </c>
      <c r="P3" s="5">
        <f>[2]World!P2</f>
        <v>-0.0530842412913013</v>
      </c>
      <c r="Q3" s="5">
        <f>[2]World!Q2</f>
        <v>-0.0550763320354863</v>
      </c>
      <c r="R3" s="5">
        <f>[2]World!R2</f>
        <v>-0.0562354923166475</v>
      </c>
      <c r="S3" s="5">
        <f>[2]World!S2</f>
        <v>-0.0570141757843423</v>
      </c>
      <c r="T3" s="5">
        <f>[2]World!T2</f>
        <v>-0.0573558477066638</v>
      </c>
      <c r="U3" s="5">
        <f>[2]World!U2</f>
        <v>-0.057144198338599</v>
      </c>
      <c r="V3" s="5">
        <f>[2]World!V2</f>
        <v>-0.0569413040171107</v>
      </c>
      <c r="W3" s="5">
        <f>[2]World!W2</f>
        <v>-0.0554742067007563</v>
      </c>
      <c r="X3" s="5">
        <f>[2]World!X2</f>
        <v>-0.0540261715137214</v>
      </c>
      <c r="Y3" s="5">
        <f>[2]World!Y2</f>
        <v>-0.0519243515055279</v>
      </c>
    </row>
    <row r="4" spans="1:25">
      <c r="A4" s="4" t="s">
        <v>2</v>
      </c>
      <c r="B4" s="5">
        <f>[3]World!B2</f>
        <v>-0.0069091228896645</v>
      </c>
      <c r="C4" s="5">
        <f>[3]World!C2</f>
        <v>-0.0147661269565336</v>
      </c>
      <c r="D4" s="5">
        <f>[3]World!D2</f>
        <v>-0.028668758284256</v>
      </c>
      <c r="E4" s="5">
        <f>[3]World!E2</f>
        <v>-0.0445578967037563</v>
      </c>
      <c r="F4" s="5">
        <f>[3]World!F2</f>
        <v>-0.0633336561736586</v>
      </c>
      <c r="G4" s="5">
        <f>[3]World!G2</f>
        <v>-0.084968745795666</v>
      </c>
      <c r="H4" s="5">
        <f>[3]World!H2</f>
        <v>-0.108771723677625</v>
      </c>
      <c r="I4" s="5">
        <f>[3]World!I2</f>
        <v>-0.134507352779578</v>
      </c>
      <c r="J4" s="5">
        <f>[3]World!J2</f>
        <v>-0.161925767627336</v>
      </c>
      <c r="K4" s="5">
        <f>[3]World!K2</f>
        <v>-0.190865508448868</v>
      </c>
      <c r="L4" s="5">
        <f>[3]World!L2</f>
        <v>-0.221090347081954</v>
      </c>
      <c r="M4" s="5">
        <f>[3]World!M2</f>
        <v>-0.252383414162405</v>
      </c>
      <c r="N4" s="5">
        <f>[3]World!N2</f>
        <v>-0.284586952006127</v>
      </c>
      <c r="O4" s="5">
        <f>[3]World!O2</f>
        <v>-0.317453227135767</v>
      </c>
      <c r="P4" s="5">
        <f>[3]World!P2</f>
        <v>-0.350838167445622</v>
      </c>
      <c r="Q4" s="5">
        <f>[3]World!Q2</f>
        <v>-0.384602162387337</v>
      </c>
      <c r="R4" s="5">
        <f>[3]World!R2</f>
        <v>-0.417873655714829</v>
      </c>
      <c r="S4" s="5">
        <f>[3]World!S2</f>
        <v>-0.450932187775355</v>
      </c>
      <c r="T4" s="5">
        <f>[3]World!T2</f>
        <v>-0.48351712168514</v>
      </c>
      <c r="U4" s="5">
        <f>[3]World!U2</f>
        <v>-0.51535157246464</v>
      </c>
      <c r="V4" s="5">
        <f>[3]World!V2</f>
        <v>-0.546821360886451</v>
      </c>
      <c r="W4" s="5">
        <f>[3]World!W2</f>
        <v>-0.576184587360817</v>
      </c>
      <c r="X4" s="5">
        <f>[3]World!X2</f>
        <v>-0.604587494278785</v>
      </c>
      <c r="Y4" s="5">
        <f>[3]World!Y2</f>
        <v>-0.631097993357266</v>
      </c>
    </row>
    <row r="5" spans="1:25">
      <c r="A5" s="4" t="s">
        <v>3</v>
      </c>
      <c r="B5" s="5">
        <f>[4]World!B2</f>
        <v>-0.00598593392991953</v>
      </c>
      <c r="C5" s="5">
        <f>[4]World!C2</f>
        <v>-0.0136838111840176</v>
      </c>
      <c r="D5" s="5">
        <f>[4]World!D2</f>
        <v>-0.0281397748535861</v>
      </c>
      <c r="E5" s="5">
        <f>[4]World!E2</f>
        <v>-0.0451607597040327</v>
      </c>
      <c r="F5" s="5">
        <f>[4]World!F2</f>
        <v>-0.0655268484473503</v>
      </c>
      <c r="G5" s="5">
        <f>[4]World!G2</f>
        <v>-0.0891376451591319</v>
      </c>
      <c r="H5" s="5">
        <f>[4]World!H2</f>
        <v>-0.115231241236735</v>
      </c>
      <c r="I5" s="5">
        <f>[4]World!I2</f>
        <v>-0.143513448761501</v>
      </c>
      <c r="J5" s="5">
        <f>[4]World!J2</f>
        <v>-0.173683172770989</v>
      </c>
      <c r="K5" s="5">
        <f>[4]World!K2</f>
        <v>-0.205538197404542</v>
      </c>
      <c r="L5" s="5">
        <f>[4]World!L2</f>
        <v>-0.238798170523713</v>
      </c>
      <c r="M5" s="5">
        <f>[4]World!M2</f>
        <v>-0.273213832235608</v>
      </c>
      <c r="N5" s="5">
        <f>[4]World!N2</f>
        <v>-0.308603086224135</v>
      </c>
      <c r="O5" s="5">
        <f>[4]World!O2</f>
        <v>-0.344696876143058</v>
      </c>
      <c r="P5" s="5">
        <f>[4]World!P2</f>
        <v>-0.381315191485299</v>
      </c>
      <c r="Q5" s="5">
        <f>[4]World!Q2</f>
        <v>-0.418319678474144</v>
      </c>
      <c r="R5" s="5">
        <f>[4]World!R2</f>
        <v>-0.45475353144343</v>
      </c>
      <c r="S5" s="5">
        <f>[4]World!S2</f>
        <v>-0.490892921031816</v>
      </c>
      <c r="T5" s="5">
        <f>[4]World!T2</f>
        <v>-0.52646886947173</v>
      </c>
      <c r="U5" s="5">
        <f>[4]World!U2</f>
        <v>-0.561240965377308</v>
      </c>
      <c r="V5" s="5">
        <f>[4]World!V2</f>
        <v>-0.595566038168394</v>
      </c>
      <c r="W5" s="5">
        <f>[4]World!W2</f>
        <v>-0.627622883629164</v>
      </c>
      <c r="X5" s="5">
        <f>[4]World!X2</f>
        <v>-0.658559695890093</v>
      </c>
      <c r="Y5" s="5">
        <f>[4]World!Y2</f>
        <v>-0.687425145657827</v>
      </c>
    </row>
    <row r="6" spans="1:25">
      <c r="A6" s="8" t="s">
        <v>4</v>
      </c>
      <c r="B6" s="5">
        <f>[5]World!B2</f>
        <v>-0.0563890970723846</v>
      </c>
      <c r="C6" s="5">
        <f>[5]World!C2</f>
        <v>-0.0557439732720266</v>
      </c>
      <c r="D6" s="5">
        <f>[5]World!D2</f>
        <v>-0.0572193411014221</v>
      </c>
      <c r="E6" s="5">
        <f>[5]World!E2</f>
        <v>-0.0575991729869552</v>
      </c>
      <c r="F6" s="5">
        <f>[5]World!F2</f>
        <v>-0.057984398527744</v>
      </c>
      <c r="G6" s="5">
        <f>[5]World!G2</f>
        <v>-0.0586303610130789</v>
      </c>
      <c r="H6" s="5">
        <f>[5]World!H2</f>
        <v>-0.0590867669116202</v>
      </c>
      <c r="I6" s="5">
        <f>[5]World!I2</f>
        <v>-0.0593236229149419</v>
      </c>
      <c r="J6" s="5">
        <f>[5]World!J2</f>
        <v>-0.0592877814749704</v>
      </c>
      <c r="K6" s="5">
        <f>[5]World!K2</f>
        <v>-0.0590097059413819</v>
      </c>
      <c r="L6" s="5">
        <f>[5]World!L2</f>
        <v>-0.0584332018317424</v>
      </c>
      <c r="M6" s="5">
        <f>[5]World!M2</f>
        <v>-0.0575576125859456</v>
      </c>
      <c r="N6" s="5">
        <f>[5]World!N2</f>
        <v>-0.0564076249468082</v>
      </c>
      <c r="O6" s="5">
        <f>[5]World!O2</f>
        <v>-0.0549633846975595</v>
      </c>
      <c r="P6" s="5">
        <f>[5]World!P2</f>
        <v>-0.0531649064388517</v>
      </c>
      <c r="Q6" s="5">
        <f>[5]World!Q2</f>
        <v>-0.0510639203168184</v>
      </c>
      <c r="R6" s="5">
        <f>[5]World!R2</f>
        <v>-0.0483153830667438</v>
      </c>
      <c r="S6" s="5">
        <f>[5]World!S2</f>
        <v>-0.0453184902191484</v>
      </c>
      <c r="T6" s="5">
        <f>[5]World!T2</f>
        <v>-0.0419945038924174</v>
      </c>
      <c r="U6" s="5">
        <f>[5]World!U2</f>
        <v>-0.0383811282733015</v>
      </c>
      <c r="V6" s="5">
        <f>[5]World!V2</f>
        <v>-0.034849864181985</v>
      </c>
      <c r="W6" s="5">
        <f>[5]World!W2</f>
        <v>-0.0301602439015891</v>
      </c>
      <c r="X6" s="5">
        <f>[5]World!X2</f>
        <v>-0.0255752216592686</v>
      </c>
      <c r="Y6" s="5">
        <f>[5]World!Y2</f>
        <v>-0.0203873833003576</v>
      </c>
    </row>
    <row r="7" spans="1:25">
      <c r="A7" s="8" t="s">
        <v>5</v>
      </c>
      <c r="B7" s="5">
        <f>[6]World!B2</f>
        <v>-0.096597649081509</v>
      </c>
      <c r="C7" s="5">
        <f>[6]World!C2</f>
        <v>-0.106405343850224</v>
      </c>
      <c r="D7" s="5">
        <f>[6]World!D2</f>
        <v>-0.118561552840424</v>
      </c>
      <c r="E7" s="5">
        <f>[6]World!E2</f>
        <v>-0.129474889842329</v>
      </c>
      <c r="F7" s="5">
        <f>[6]World!F2</f>
        <v>-0.140383034220404</v>
      </c>
      <c r="G7" s="5">
        <f>[6]World!G2</f>
        <v>-0.151359254752337</v>
      </c>
      <c r="H7" s="5">
        <f>[6]World!H2</f>
        <v>-0.161881399092456</v>
      </c>
      <c r="I7" s="5">
        <f>[6]World!I2</f>
        <v>-0.171874755722834</v>
      </c>
      <c r="J7" s="5">
        <f>[6]World!J2</f>
        <v>-0.181256714620515</v>
      </c>
      <c r="K7" s="5">
        <f>[6]World!K2</f>
        <v>-0.18998938101592</v>
      </c>
      <c r="L7" s="5">
        <f>[6]World!L2</f>
        <v>-0.198044866508429</v>
      </c>
      <c r="M7" s="5">
        <f>[6]World!M2</f>
        <v>-0.20540747128085</v>
      </c>
      <c r="N7" s="5">
        <f>[6]World!N2</f>
        <v>-0.212095976921978</v>
      </c>
      <c r="O7" s="5">
        <f>[6]World!O2</f>
        <v>-0.218084837072008</v>
      </c>
      <c r="P7" s="5">
        <f>[6]World!P2</f>
        <v>-0.223338999053746</v>
      </c>
      <c r="Q7" s="5">
        <f>[6]World!Q2</f>
        <v>-0.227903943958196</v>
      </c>
      <c r="R7" s="5">
        <f>[6]World!R2</f>
        <v>-0.23139150888043</v>
      </c>
      <c r="S7" s="5">
        <f>[6]World!S2</f>
        <v>-0.234225133413346</v>
      </c>
      <c r="T7" s="5">
        <f>[6]World!T2</f>
        <v>-0.236367784929059</v>
      </c>
      <c r="U7" s="5">
        <f>[6]World!U2</f>
        <v>-0.237956598361777</v>
      </c>
      <c r="V7" s="5">
        <f>[6]World!V2</f>
        <v>-0.239351992077885</v>
      </c>
      <c r="W7" s="5">
        <f>[6]World!W2</f>
        <v>-0.239321147568927</v>
      </c>
      <c r="X7" s="5">
        <f>[6]World!X2</f>
        <v>-0.2391602180981</v>
      </c>
      <c r="Y7" s="5">
        <f>[6]World!Y2</f>
        <v>-0.23820999890477</v>
      </c>
    </row>
    <row r="8" spans="1:25">
      <c r="A8" s="8" t="s">
        <v>6</v>
      </c>
      <c r="B8" s="5">
        <f>[7]World!B2</f>
        <v>-0.0877465462315041</v>
      </c>
      <c r="C8" s="5">
        <f>[7]World!C2</f>
        <v>-0.103564059329631</v>
      </c>
      <c r="D8" s="5">
        <f>[7]World!D2</f>
        <v>-0.125492618857503</v>
      </c>
      <c r="E8" s="5">
        <f>[7]World!E2</f>
        <v>-0.149319474493259</v>
      </c>
      <c r="F8" s="5">
        <f>[7]World!F2</f>
        <v>-0.176016629872</v>
      </c>
      <c r="G8" s="5">
        <f>[7]World!G2</f>
        <v>-0.205477622883821</v>
      </c>
      <c r="H8" s="5">
        <f>[7]World!H2</f>
        <v>-0.237015473568336</v>
      </c>
      <c r="I8" s="5">
        <f>[7]World!I2</f>
        <v>-0.270390632859385</v>
      </c>
      <c r="J8" s="5">
        <f>[7]World!J2</f>
        <v>-0.305347847426496</v>
      </c>
      <c r="K8" s="5">
        <f>[7]World!K2</f>
        <v>-0.341720161763359</v>
      </c>
      <c r="L8" s="5">
        <f>[7]World!L2</f>
        <v>-0.379262389404567</v>
      </c>
      <c r="M8" s="5">
        <f>[7]World!M2</f>
        <v>-0.417757002469699</v>
      </c>
      <c r="N8" s="5">
        <f>[7]World!N2</f>
        <v>-0.457039105136736</v>
      </c>
      <c r="O8" s="5">
        <f>[7]World!O2</f>
        <v>-0.496855308519972</v>
      </c>
      <c r="P8" s="5">
        <f>[7]World!P2</f>
        <v>-0.537060932145672</v>
      </c>
      <c r="Q8" s="5">
        <f>[7]World!Q2</f>
        <v>-0.577508084712686</v>
      </c>
      <c r="R8" s="5">
        <f>[7]World!R2</f>
        <v>-0.617336740589536</v>
      </c>
      <c r="S8" s="5">
        <f>[7]World!S2</f>
        <v>-0.656807870681997</v>
      </c>
      <c r="T8" s="5">
        <f>[7]World!T2</f>
        <v>-0.695657849278108</v>
      </c>
      <c r="U8" s="5">
        <f>[7]World!U2</f>
        <v>-0.733581276168793</v>
      </c>
      <c r="V8" s="5">
        <f>[7]World!V2</f>
        <v>-0.770971936619214</v>
      </c>
      <c r="W8" s="5">
        <f>[7]World!W2</f>
        <v>-0.806098146555168</v>
      </c>
      <c r="X8" s="5">
        <f>[7]World!X2</f>
        <v>-0.840089955444701</v>
      </c>
      <c r="Y8" s="5">
        <f>[7]World!Y2</f>
        <v>-0.872016719928348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workbookViewId="0">
      <selection activeCell="Y3" sqref="Y3"/>
    </sheetView>
  </sheetViews>
  <sheetFormatPr defaultColWidth="9" defaultRowHeight="15" outlineLevelRow="7"/>
  <cols>
    <col min="2" max="24" width="14" hidden="1" customWidth="1"/>
    <col min="25" max="25" width="14"/>
  </cols>
  <sheetData>
    <row r="1" spans="1:25">
      <c r="A1" s="30"/>
      <c r="B1" s="30">
        <v>2017</v>
      </c>
      <c r="C1" s="30">
        <v>2018</v>
      </c>
      <c r="D1" s="30">
        <v>2019</v>
      </c>
      <c r="E1" s="30">
        <v>2020</v>
      </c>
      <c r="F1" s="30">
        <v>2021</v>
      </c>
      <c r="G1" s="30">
        <v>2022</v>
      </c>
      <c r="H1" s="30">
        <v>2023</v>
      </c>
      <c r="I1" s="30">
        <v>2024</v>
      </c>
      <c r="J1" s="30">
        <v>2025</v>
      </c>
      <c r="K1" s="30">
        <v>2026</v>
      </c>
      <c r="L1" s="30">
        <v>2027</v>
      </c>
      <c r="M1" s="30">
        <v>2028</v>
      </c>
      <c r="N1" s="30">
        <v>2029</v>
      </c>
      <c r="O1" s="30">
        <v>2030</v>
      </c>
      <c r="P1" s="30">
        <v>2031</v>
      </c>
      <c r="Q1" s="30">
        <v>2032</v>
      </c>
      <c r="R1" s="30">
        <v>2033</v>
      </c>
      <c r="S1" s="30">
        <v>2034</v>
      </c>
      <c r="T1" s="30">
        <v>2035</v>
      </c>
      <c r="U1" s="30">
        <v>2036</v>
      </c>
      <c r="V1" s="30">
        <v>2037</v>
      </c>
      <c r="W1" s="30">
        <v>2038</v>
      </c>
      <c r="X1" s="30">
        <v>2039</v>
      </c>
      <c r="Y1" s="30">
        <v>2040</v>
      </c>
    </row>
    <row r="2" spans="1:25">
      <c r="A2" s="4" t="s">
        <v>0</v>
      </c>
      <c r="B2" s="6">
        <f>[1]World!B3</f>
        <v>-0.104900402609542</v>
      </c>
      <c r="C2" s="6">
        <f>[1]World!C3</f>
        <v>-0.184628551233124</v>
      </c>
      <c r="D2" s="6">
        <f>[1]World!D3</f>
        <v>-0.249077436173362</v>
      </c>
      <c r="E2" s="6">
        <f>[1]World!E3</f>
        <v>-0.298537652193498</v>
      </c>
      <c r="F2" s="6">
        <f>[1]World!F3</f>
        <v>-0.336076575935607</v>
      </c>
      <c r="G2" s="6">
        <f>[1]World!G3</f>
        <v>-0.364546862787296</v>
      </c>
      <c r="H2" s="6">
        <f>[1]World!H3</f>
        <v>-0.385307151906122</v>
      </c>
      <c r="I2" s="6">
        <f>[1]World!I3</f>
        <v>-0.399794123614072</v>
      </c>
      <c r="J2" s="6">
        <f>[1]World!J3</f>
        <v>-0.409126453476549</v>
      </c>
      <c r="K2" s="6">
        <f>[1]World!K3</f>
        <v>-0.414271529346477</v>
      </c>
      <c r="L2" s="6">
        <f>[1]World!L3</f>
        <v>-0.416023813146804</v>
      </c>
      <c r="M2" s="6">
        <f>[1]World!M3</f>
        <v>-0.415036115957379</v>
      </c>
      <c r="N2" s="6">
        <f>[1]World!N3</f>
        <v>-0.411908435370945</v>
      </c>
      <c r="O2" s="6">
        <f>[1]World!O3</f>
        <v>-0.407144288836703</v>
      </c>
      <c r="P2" s="6">
        <f>[1]World!P3</f>
        <v>-0.400964796910985</v>
      </c>
      <c r="Q2" s="6">
        <f>[1]World!Q3</f>
        <v>-0.393815465770064</v>
      </c>
      <c r="R2" s="6">
        <f>[1]World!R3</f>
        <v>-0.385447277983197</v>
      </c>
      <c r="S2" s="6">
        <f>[1]World!S3</f>
        <v>-0.3765235126577</v>
      </c>
      <c r="T2" s="6">
        <f>[1]World!T3</f>
        <v>-0.367203047533116</v>
      </c>
      <c r="U2" s="6">
        <f>[1]World!U3</f>
        <v>-0.358727236998291</v>
      </c>
      <c r="V2" s="6">
        <f>[1]World!V3</f>
        <v>-0.35039893298966</v>
      </c>
      <c r="W2" s="6">
        <f>[1]World!W3</f>
        <v>-0.341479305747439</v>
      </c>
      <c r="X2" s="6">
        <f>[1]World!X3</f>
        <v>-0.332803443205054</v>
      </c>
      <c r="Y2" s="6">
        <f>[1]World!Y3</f>
        <v>-0.324082866335129</v>
      </c>
    </row>
    <row r="3" spans="1:25">
      <c r="A3" s="4" t="s">
        <v>1</v>
      </c>
      <c r="B3" s="6">
        <f>[2]World!B3</f>
        <v>-0.435222390864198</v>
      </c>
      <c r="C3" s="6">
        <f>[2]World!C3</f>
        <v>-0.784686597721285</v>
      </c>
      <c r="D3" s="6">
        <f>[2]World!D3</f>
        <v>-1.06651444419359</v>
      </c>
      <c r="E3" s="6">
        <f>[2]World!E3</f>
        <v>-1.28844393334867</v>
      </c>
      <c r="F3" s="6">
        <f>[2]World!F3</f>
        <v>-1.459829298628</v>
      </c>
      <c r="G3" s="6">
        <f>[2]World!G3</f>
        <v>-1.59094870988123</v>
      </c>
      <c r="H3" s="6">
        <f>[2]World!H3</f>
        <v>-1.68820896747285</v>
      </c>
      <c r="I3" s="6">
        <f>[2]World!I3</f>
        <v>-1.75739093992064</v>
      </c>
      <c r="J3" s="6">
        <f>[2]World!J3</f>
        <v>-1.8032245832788</v>
      </c>
      <c r="K3" s="6">
        <f>[2]World!K3</f>
        <v>-1.82952158625672</v>
      </c>
      <c r="L3" s="6">
        <f>[2]World!L3</f>
        <v>-1.83999545118765</v>
      </c>
      <c r="M3" s="6">
        <f>[2]World!M3</f>
        <v>-1.83765878800144</v>
      </c>
      <c r="N3" s="6">
        <f>[2]World!N3</f>
        <v>-1.82510428788946</v>
      </c>
      <c r="O3" s="6">
        <f>[2]World!O3</f>
        <v>-1.80467128785778</v>
      </c>
      <c r="P3" s="6">
        <f>[2]World!P3</f>
        <v>-1.77794395969718</v>
      </c>
      <c r="Q3" s="6">
        <f>[2]World!Q3</f>
        <v>-1.74597168044589</v>
      </c>
      <c r="R3" s="6">
        <f>[2]World!R3</f>
        <v>-1.70896406746193</v>
      </c>
      <c r="S3" s="6">
        <f>[2]World!S3</f>
        <v>-1.66881424449614</v>
      </c>
      <c r="T3" s="6">
        <f>[2]World!T3</f>
        <v>-1.62669043759736</v>
      </c>
      <c r="U3" s="6">
        <f>[2]World!U3</f>
        <v>-1.58878680007262</v>
      </c>
      <c r="V3" s="6">
        <f>[2]World!V3</f>
        <v>-1.5509259281639</v>
      </c>
      <c r="W3" s="6">
        <f>[2]World!W3</f>
        <v>-1.51198880509813</v>
      </c>
      <c r="X3" s="6">
        <f>[2]World!X3</f>
        <v>-1.47367443339321</v>
      </c>
      <c r="Y3" s="6">
        <f>[2]World!Y3</f>
        <v>-1.43596854107717</v>
      </c>
    </row>
    <row r="4" spans="1:25">
      <c r="A4" s="4" t="s">
        <v>2</v>
      </c>
      <c r="B4" s="6">
        <f>[3]World!B3</f>
        <v>-1.69870492820283</v>
      </c>
      <c r="C4" s="6">
        <f>[3]World!C3</f>
        <v>-3.19841610908559</v>
      </c>
      <c r="D4" s="6">
        <f>[3]World!D3</f>
        <v>-4.5315934107097</v>
      </c>
      <c r="E4" s="6">
        <f>[3]World!E3</f>
        <v>-5.70964643528144</v>
      </c>
      <c r="F4" s="6">
        <f>[3]World!F3</f>
        <v>-6.74381680797883</v>
      </c>
      <c r="G4" s="6">
        <f>[3]World!G3</f>
        <v>-7.65850180243986</v>
      </c>
      <c r="H4" s="6">
        <f>[3]World!H3</f>
        <v>-8.46841297945131</v>
      </c>
      <c r="I4" s="6">
        <f>[3]World!I3</f>
        <v>-9.18632992864399</v>
      </c>
      <c r="J4" s="6">
        <f>[3]World!J3</f>
        <v>-9.82259608773999</v>
      </c>
      <c r="K4" s="6">
        <f>[3]World!K3</f>
        <v>-10.3873692071632</v>
      </c>
      <c r="L4" s="6">
        <f>[3]World!L3</f>
        <v>-10.8873010387681</v>
      </c>
      <c r="M4" s="6">
        <f>[3]World!M3</f>
        <v>-11.32823394665</v>
      </c>
      <c r="N4" s="6">
        <f>[3]World!N3</f>
        <v>-11.7159157139047</v>
      </c>
      <c r="O4" s="6">
        <f>[3]World!O3</f>
        <v>-12.055249478801</v>
      </c>
      <c r="P4" s="6">
        <f>[3]World!P3</f>
        <v>-12.352524811214</v>
      </c>
      <c r="Q4" s="6">
        <f>[3]World!Q3</f>
        <v>-12.6051433243626</v>
      </c>
      <c r="R4" s="6">
        <f>[3]World!R3</f>
        <v>-12.8141049217376</v>
      </c>
      <c r="S4" s="6">
        <f>[3]World!S3</f>
        <v>-12.9833342294904</v>
      </c>
      <c r="T4" s="6">
        <f>[3]World!T3</f>
        <v>-13.1170549499411</v>
      </c>
      <c r="U4" s="6">
        <f>[3]World!U3</f>
        <v>-13.2464597433507</v>
      </c>
      <c r="V4" s="6">
        <f>[3]World!V3</f>
        <v>-13.3501460921088</v>
      </c>
      <c r="W4" s="6">
        <f>[3]World!W3</f>
        <v>-13.4230761769193</v>
      </c>
      <c r="X4" s="6">
        <f>[3]World!X3</f>
        <v>-13.4722855127645</v>
      </c>
      <c r="Y4" s="6">
        <f>[3]World!Y3</f>
        <v>-13.4986854005831</v>
      </c>
    </row>
    <row r="5" spans="1:25">
      <c r="A5" s="4" t="s">
        <v>3</v>
      </c>
      <c r="B5" s="6">
        <f>[4]World!B3</f>
        <v>-2.11087901898026</v>
      </c>
      <c r="C5" s="6">
        <f>[4]World!C3</f>
        <v>-3.99785566020892</v>
      </c>
      <c r="D5" s="6">
        <f>[4]World!D3</f>
        <v>-5.6883451862919</v>
      </c>
      <c r="E5" s="6">
        <f>[4]World!E3</f>
        <v>-7.190439437669</v>
      </c>
      <c r="F5" s="6">
        <f>[4]World!F3</f>
        <v>-8.51545778114813</v>
      </c>
      <c r="G5" s="6">
        <f>[4]World!G3</f>
        <v>-9.69162272884958</v>
      </c>
      <c r="H5" s="6">
        <f>[4]World!H3</f>
        <v>-10.7367143843367</v>
      </c>
      <c r="I5" s="6">
        <f>[4]World!I3</f>
        <v>-11.6666692846088</v>
      </c>
      <c r="J5" s="6">
        <f>[4]World!J3</f>
        <v>-12.4944521188569</v>
      </c>
      <c r="K5" s="6">
        <f>[4]World!K3</f>
        <v>-13.2315963774333</v>
      </c>
      <c r="L5" s="6">
        <f>[4]World!L3</f>
        <v>-13.8875116795411</v>
      </c>
      <c r="M5" s="6">
        <f>[4]World!M3</f>
        <v>-14.4698463293482</v>
      </c>
      <c r="N5" s="6">
        <f>[4]World!N3</f>
        <v>-14.9862703435142</v>
      </c>
      <c r="O5" s="6">
        <f>[4]World!O3</f>
        <v>-15.443213374052</v>
      </c>
      <c r="P5" s="6">
        <f>[4]World!P3</f>
        <v>-15.846171155756</v>
      </c>
      <c r="Q5" s="6">
        <f>[4]World!Q3</f>
        <v>-16.1974329314953</v>
      </c>
      <c r="R5" s="6">
        <f>[4]World!R3</f>
        <v>-16.4941513744373</v>
      </c>
      <c r="S5" s="6">
        <f>[4]World!S3</f>
        <v>-16.7432822461815</v>
      </c>
      <c r="T5" s="6">
        <f>[4]World!T3</f>
        <v>-16.9499444058374</v>
      </c>
      <c r="U5" s="6">
        <f>[4]World!U3</f>
        <v>-17.1475981501243</v>
      </c>
      <c r="V5" s="6">
        <f>[4]World!V3</f>
        <v>-17.3153694355483</v>
      </c>
      <c r="W5" s="6">
        <f>[4]World!W3</f>
        <v>-17.4464982537128</v>
      </c>
      <c r="X5" s="6">
        <f>[4]World!X3</f>
        <v>-17.5488243448642</v>
      </c>
      <c r="Y5" s="6">
        <f>[4]World!Y3</f>
        <v>-17.6236321091195</v>
      </c>
    </row>
    <row r="6" spans="1:25">
      <c r="A6" s="8" t="s">
        <v>4</v>
      </c>
      <c r="B6" s="6">
        <f>[5]World!B3</f>
        <v>-0.306432520504518</v>
      </c>
      <c r="C6" s="6">
        <f>[5]World!C3</f>
        <v>-0.364991296615136</v>
      </c>
      <c r="D6" s="6">
        <f>[5]World!D3</f>
        <v>-0.410595071747455</v>
      </c>
      <c r="E6" s="6">
        <f>[5]World!E3</f>
        <v>-0.443301090864523</v>
      </c>
      <c r="F6" s="6">
        <f>[5]World!F3</f>
        <v>-0.465626013102693</v>
      </c>
      <c r="G6" s="6">
        <f>[5]World!G3</f>
        <v>-0.480498630537851</v>
      </c>
      <c r="H6" s="6">
        <f>[5]World!H3</f>
        <v>-0.489059128114877</v>
      </c>
      <c r="I6" s="6">
        <f>[5]World!I3</f>
        <v>-0.492578212135875</v>
      </c>
      <c r="J6" s="6">
        <f>[5]World!J3</f>
        <v>-0.492029079496825</v>
      </c>
      <c r="K6" s="6">
        <f>[5]World!K3</f>
        <v>-0.488254030008262</v>
      </c>
      <c r="L6" s="6">
        <f>[5]World!L3</f>
        <v>-0.481968416635425</v>
      </c>
      <c r="M6" s="6">
        <f>[5]World!M3</f>
        <v>-0.47375167988658</v>
      </c>
      <c r="N6" s="6">
        <f>[5]World!N3</f>
        <v>-0.464131306555826</v>
      </c>
      <c r="O6" s="6">
        <f>[5]World!O3</f>
        <v>-0.453551557384468</v>
      </c>
      <c r="P6" s="6">
        <f>[5]World!P3</f>
        <v>-0.442130446520905</v>
      </c>
      <c r="Q6" s="6">
        <f>[5]World!Q3</f>
        <v>-0.430325798006292</v>
      </c>
      <c r="R6" s="6">
        <f>[5]World!R3</f>
        <v>-0.417764362188178</v>
      </c>
      <c r="S6" s="6">
        <f>[5]World!S3</f>
        <v>-0.405118114697267</v>
      </c>
      <c r="T6" s="6">
        <f>[5]World!T3</f>
        <v>-0.39249499308871</v>
      </c>
      <c r="U6" s="6">
        <f>[5]World!U3</f>
        <v>-0.38119075147387</v>
      </c>
      <c r="V6" s="6">
        <f>[5]World!V3</f>
        <v>-0.370383992089973</v>
      </c>
      <c r="W6" s="6">
        <f>[5]World!W3</f>
        <v>-0.359244023921879</v>
      </c>
      <c r="X6" s="6">
        <f>[5]World!X3</f>
        <v>-0.34861924045021</v>
      </c>
      <c r="Y6" s="6">
        <f>[5]World!Y3</f>
        <v>-0.338170755169287</v>
      </c>
    </row>
    <row r="7" spans="1:25">
      <c r="A7" s="8" t="s">
        <v>5</v>
      </c>
      <c r="B7" s="6">
        <f>[6]World!B3</f>
        <v>-0.837045089443444</v>
      </c>
      <c r="C7" s="6">
        <f>[6]World!C3</f>
        <v>-1.17343497082657</v>
      </c>
      <c r="D7" s="6">
        <f>[6]World!D3</f>
        <v>-1.44282941132391</v>
      </c>
      <c r="E7" s="6">
        <f>[6]World!E3</f>
        <v>-1.65308423127883</v>
      </c>
      <c r="F7" s="6">
        <f>[6]World!F3</f>
        <v>-1.8136728369271</v>
      </c>
      <c r="G7" s="6">
        <f>[6]World!G3</f>
        <v>-1.93468477810095</v>
      </c>
      <c r="H7" s="6">
        <f>[6]World!H3</f>
        <v>-2.02243375045386</v>
      </c>
      <c r="I7" s="6">
        <f>[6]World!I3</f>
        <v>-2.08257233886534</v>
      </c>
      <c r="J7" s="6">
        <f>[6]World!J3</f>
        <v>-2.11975302699579</v>
      </c>
      <c r="K7" s="6">
        <f>[6]World!K3</f>
        <v>-2.13773122136528</v>
      </c>
      <c r="L7" s="6">
        <f>[6]World!L3</f>
        <v>-2.14020913135133</v>
      </c>
      <c r="M7" s="6">
        <f>[6]World!M3</f>
        <v>-2.13016873629246</v>
      </c>
      <c r="N7" s="6">
        <f>[6]World!N3</f>
        <v>-2.11019887863181</v>
      </c>
      <c r="O7" s="6">
        <f>[6]World!O3</f>
        <v>-2.08264593327735</v>
      </c>
      <c r="P7" s="6">
        <f>[6]World!P3</f>
        <v>-2.04907307421633</v>
      </c>
      <c r="Q7" s="6">
        <f>[6]World!Q3</f>
        <v>-2.01046410411561</v>
      </c>
      <c r="R7" s="6">
        <f>[6]World!R3</f>
        <v>-1.96705185533352</v>
      </c>
      <c r="S7" s="6">
        <f>[6]World!S3</f>
        <v>-1.92075436730679</v>
      </c>
      <c r="T7" s="6">
        <f>[6]World!T3</f>
        <v>-1.87270063102607</v>
      </c>
      <c r="U7" s="6">
        <f>[6]World!U3</f>
        <v>-1.8294167653355</v>
      </c>
      <c r="V7" s="6">
        <f>[6]World!V3</f>
        <v>-1.78636127697052</v>
      </c>
      <c r="W7" s="6">
        <f>[6]World!W3</f>
        <v>-1.74246947329901</v>
      </c>
      <c r="X7" s="6">
        <f>[6]World!X3</f>
        <v>-1.69944484610872</v>
      </c>
      <c r="Y7" s="6">
        <f>[6]World!Y3</f>
        <v>-1.65725753195669</v>
      </c>
    </row>
    <row r="8" spans="1:25">
      <c r="A8" s="8" t="s">
        <v>6</v>
      </c>
      <c r="B8" s="6">
        <f>[7]World!B3</f>
        <v>-2.2177348095321</v>
      </c>
      <c r="C8" s="6">
        <f>[7]World!C3</f>
        <v>-3.70422537521284</v>
      </c>
      <c r="D8" s="6">
        <f>[7]World!D3</f>
        <v>-5.02723755706588</v>
      </c>
      <c r="E8" s="6">
        <f>[7]World!E3</f>
        <v>-6.19663664192702</v>
      </c>
      <c r="F8" s="6">
        <f>[7]World!F3</f>
        <v>-7.22364268408766</v>
      </c>
      <c r="G8" s="6">
        <f>[7]World!G3</f>
        <v>-8.13247908870531</v>
      </c>
      <c r="H8" s="6">
        <f>[7]World!H3</f>
        <v>-8.93759852776316</v>
      </c>
      <c r="I8" s="6">
        <f>[7]World!I3</f>
        <v>-9.65154429834149</v>
      </c>
      <c r="J8" s="6">
        <f>[7]World!J3</f>
        <v>-10.2844819419617</v>
      </c>
      <c r="K8" s="6">
        <f>[7]World!K3</f>
        <v>-10.8464289897987</v>
      </c>
      <c r="L8" s="6">
        <f>[7]World!L3</f>
        <v>-11.3439518451568</v>
      </c>
      <c r="M8" s="6">
        <f>[7]World!M3</f>
        <v>-11.7828211716797</v>
      </c>
      <c r="N8" s="6">
        <f>[7]World!N3</f>
        <v>-12.168716268889</v>
      </c>
      <c r="O8" s="6">
        <f>[7]World!O3</f>
        <v>-12.5064970603364</v>
      </c>
      <c r="P8" s="6">
        <f>[7]World!P3</f>
        <v>-12.8023882411123</v>
      </c>
      <c r="Q8" s="6">
        <f>[7]World!Q3</f>
        <v>-13.0538285638982</v>
      </c>
      <c r="R8" s="6">
        <f>[7]World!R3</f>
        <v>-13.2616534560543</v>
      </c>
      <c r="S8" s="6">
        <f>[7]World!S3</f>
        <v>-13.4298022329228</v>
      </c>
      <c r="T8" s="6">
        <f>[7]World!T3</f>
        <v>-13.5624757241984</v>
      </c>
      <c r="U8" s="6">
        <f>[7]World!U3</f>
        <v>-13.690939553325</v>
      </c>
      <c r="V8" s="6">
        <f>[7]World!V3</f>
        <v>-13.7937018225335</v>
      </c>
      <c r="W8" s="6">
        <f>[7]World!W3</f>
        <v>-13.8656252465299</v>
      </c>
      <c r="X8" s="6">
        <f>[7]World!X3</f>
        <v>-13.9137521640339</v>
      </c>
      <c r="Y8" s="6">
        <f>[7]World!Y3</f>
        <v>-13.9389777575193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70" zoomScaleNormal="70" workbookViewId="0">
      <selection activeCell="I6" sqref="I6"/>
    </sheetView>
  </sheetViews>
  <sheetFormatPr defaultColWidth="9" defaultRowHeight="15"/>
  <cols>
    <col min="9" max="9" width="9.12380952380952" customWidth="1"/>
  </cols>
  <sheetData>
    <row r="1" spans="1:11">
      <c r="A1" s="18"/>
      <c r="B1" s="31" t="s">
        <v>7</v>
      </c>
      <c r="C1" s="32" t="s">
        <v>8</v>
      </c>
      <c r="D1" s="31" t="s">
        <v>9</v>
      </c>
      <c r="E1" s="31" t="s">
        <v>10</v>
      </c>
      <c r="F1" s="31" t="s">
        <v>11</v>
      </c>
      <c r="G1" s="31" t="s">
        <v>12</v>
      </c>
      <c r="H1" s="31" t="s">
        <v>13</v>
      </c>
      <c r="I1" s="32" t="s">
        <v>14</v>
      </c>
      <c r="J1" s="31" t="s">
        <v>15</v>
      </c>
      <c r="K1" s="32" t="s">
        <v>16</v>
      </c>
    </row>
    <row r="2" s="12" customFormat="1" ht="11.25" customHeight="1" spans="1:11">
      <c r="A2" s="4" t="s">
        <v>0</v>
      </c>
      <c r="B2" s="21">
        <f>[1]GDPR!I25</f>
        <v>-0.205350353798994</v>
      </c>
      <c r="C2" s="22">
        <f>[1]GDPR!J25</f>
        <v>-0.0414279088661762</v>
      </c>
      <c r="D2" s="22">
        <f>[1]GDPR!B25</f>
        <v>-0.0783021264221473</v>
      </c>
      <c r="E2" s="22">
        <f>[1]GDPR!G25</f>
        <v>-0.00409415171924721</v>
      </c>
      <c r="F2" s="22">
        <f>[1]GDPR!F25</f>
        <v>-7.91163944691142e-5</v>
      </c>
      <c r="G2" s="22">
        <f>[1]GDPR!D25</f>
        <v>0.16962184539584</v>
      </c>
      <c r="H2" s="22">
        <f>[1]GDPR!E25</f>
        <v>0.465975331290958</v>
      </c>
      <c r="I2" s="22">
        <f>[1]GDPR!K25</f>
        <v>-0.0227485841004516</v>
      </c>
      <c r="J2" s="22">
        <f>[1]GDPR!C25</f>
        <v>-0.37598291872708</v>
      </c>
      <c r="K2" s="22">
        <f>[1]GDPR!H25</f>
        <v>-0.299590390905968</v>
      </c>
    </row>
    <row r="3" s="12" customFormat="1" spans="1:11">
      <c r="A3" s="4" t="s">
        <v>1</v>
      </c>
      <c r="B3" s="22">
        <f>[2]GDPR!I25</f>
        <v>-0.145991143641699</v>
      </c>
      <c r="C3" s="22">
        <f>[2]GDPR!J25</f>
        <v>-0.334668063922772</v>
      </c>
      <c r="D3" s="22">
        <f>[2]GDPR!B25</f>
        <v>-0.302016136903382</v>
      </c>
      <c r="E3" s="21">
        <f>[2]GDPR!G25</f>
        <v>-0.246870706345703</v>
      </c>
      <c r="F3" s="21">
        <f>[2]GDPR!F25</f>
        <v>-0.118226275388289</v>
      </c>
      <c r="G3" s="22">
        <f>[2]GDPR!D25</f>
        <v>0.165034825862476</v>
      </c>
      <c r="H3" s="22">
        <f>[2]GDPR!E25</f>
        <v>0.504923749587771</v>
      </c>
      <c r="I3" s="22">
        <f>[2]GDPR!K25</f>
        <v>-0.0401962131263867</v>
      </c>
      <c r="J3" s="22">
        <f>[2]GDPR!C25</f>
        <v>-0.681256276341935</v>
      </c>
      <c r="K3" s="22">
        <f>[2]GDPR!H25</f>
        <v>-0.547223754258774</v>
      </c>
    </row>
    <row r="4" s="12" customFormat="1" spans="1:11">
      <c r="A4" s="4" t="s">
        <v>2</v>
      </c>
      <c r="B4" s="22">
        <f>[3]GDPR!I25</f>
        <v>-0.0433786659892577</v>
      </c>
      <c r="C4" s="22">
        <f>[3]GDPR!J25</f>
        <v>-0.26507763369279</v>
      </c>
      <c r="D4" s="22">
        <f>[3]GDPR!B25</f>
        <v>-0.416399859335759</v>
      </c>
      <c r="E4" s="22">
        <f>[3]GDPR!G25</f>
        <v>-0.269440615450001</v>
      </c>
      <c r="F4" s="22">
        <f>[3]GDPR!F25</f>
        <v>-0.382681890745451</v>
      </c>
      <c r="G4" s="22">
        <f>[3]GDPR!D25</f>
        <v>-1.3956810106473</v>
      </c>
      <c r="H4" s="21">
        <f>[3]GDPR!E25</f>
        <v>-0.388689594393021</v>
      </c>
      <c r="I4" s="22">
        <f>[3]GDPR!K25</f>
        <v>-0.243871849946753</v>
      </c>
      <c r="J4" s="22">
        <f>[3]GDPR!C25</f>
        <v>-1.39076455920362</v>
      </c>
      <c r="K4" s="22">
        <f>[3]GDPR!H25</f>
        <v>-1.23461083966236</v>
      </c>
    </row>
    <row r="5" s="12" customFormat="1" spans="1:11">
      <c r="A5" s="4" t="s">
        <v>3</v>
      </c>
      <c r="B5" s="22">
        <f>[4]GDPR!I25</f>
        <v>0.0336429857158427</v>
      </c>
      <c r="C5" s="22">
        <f>[4]GDPR!J25</f>
        <v>-0.252229304363494</v>
      </c>
      <c r="D5" s="22">
        <f>[4]GDPR!B25</f>
        <v>-0.504857979335527</v>
      </c>
      <c r="E5" s="22">
        <f>[4]GDPR!G25</f>
        <v>-0.296581403512197</v>
      </c>
      <c r="F5" s="22">
        <f>[4]GDPR!F25</f>
        <v>-0.315361643012768</v>
      </c>
      <c r="G5" s="22">
        <f>[4]GDPR!D25</f>
        <v>-1.37200145773602</v>
      </c>
      <c r="H5" s="22">
        <f>[4]GDPR!E25</f>
        <v>-0.199273775584063</v>
      </c>
      <c r="I5" s="21">
        <f>[4]GDPR!K25</f>
        <v>-0.583829037883699</v>
      </c>
      <c r="J5" s="21">
        <f>[4]GDPR!C25</f>
        <v>-2.99628130618405</v>
      </c>
      <c r="K5" s="21">
        <f>[4]GDPR!H25</f>
        <v>-1.39519394569656</v>
      </c>
    </row>
    <row r="6" spans="1:11">
      <c r="A6" s="8" t="s">
        <v>4</v>
      </c>
      <c r="B6" s="23">
        <f>[5]GDPR!I25</f>
        <v>-1.48947455970777</v>
      </c>
      <c r="C6" s="24">
        <f>[5]GDPR!J25</f>
        <v>0.239660043215095</v>
      </c>
      <c r="D6" s="24">
        <f>[5]GDPR!B25</f>
        <v>-0.00553262192624082</v>
      </c>
      <c r="E6" s="25">
        <f>[5]GDPR!G25</f>
        <v>0.0430978299242657</v>
      </c>
      <c r="F6" s="24">
        <f>[5]GDPR!F25</f>
        <v>0.202760222382081</v>
      </c>
      <c r="G6" s="25">
        <f>[5]GDPR!D25</f>
        <v>0.234722762408901</v>
      </c>
      <c r="H6" s="24">
        <f>[5]GDPR!E25</f>
        <v>0.511506480204393</v>
      </c>
      <c r="I6" s="24">
        <f>[5]GDPR!K25</f>
        <v>0.0717103908867589</v>
      </c>
      <c r="J6" s="25">
        <f>[5]GDPR!C25</f>
        <v>-0.222731551077704</v>
      </c>
      <c r="K6" s="24">
        <f>[5]GDPR!H25</f>
        <v>-0.238406596927909</v>
      </c>
    </row>
    <row r="7" s="12" customFormat="1" spans="1:11">
      <c r="A7" s="8" t="s">
        <v>5</v>
      </c>
      <c r="B7" s="22">
        <f>[6]GDPR!I25</f>
        <v>-0.71151306712206</v>
      </c>
      <c r="C7" s="22">
        <f>[6]GDPR!J25</f>
        <v>-1.04039731999188</v>
      </c>
      <c r="D7" s="22">
        <f>[6]GDPR!B25</f>
        <v>-0.465564189697421</v>
      </c>
      <c r="E7" s="21">
        <f>[6]GDPR!G25</f>
        <v>-0.746442719767826</v>
      </c>
      <c r="F7" s="21">
        <f>[6]GDPR!F25</f>
        <v>0.149251880662327</v>
      </c>
      <c r="G7" s="22">
        <f>[6]GDPR!D25</f>
        <v>0.219098313755595</v>
      </c>
      <c r="H7" s="22">
        <f>[6]GDPR!E25</f>
        <v>0.479851428078715</v>
      </c>
      <c r="I7" s="22">
        <f>[6]GDPR!K25</f>
        <v>0.0480821181859659</v>
      </c>
      <c r="J7" s="22">
        <f>[6]GDPR!C25</f>
        <v>-0.632610511838105</v>
      </c>
      <c r="K7" s="22">
        <f>[6]GDPR!H25</f>
        <v>-0.455148588552878</v>
      </c>
    </row>
    <row r="8" s="12" customFormat="1" spans="1:11">
      <c r="A8" s="8" t="s">
        <v>6</v>
      </c>
      <c r="B8" s="22">
        <f>[7]GDPR!I25</f>
        <v>-0.274142462464655</v>
      </c>
      <c r="C8" s="22">
        <f>[7]GDPR!J25</f>
        <v>-0.504191404523269</v>
      </c>
      <c r="D8" s="22">
        <f>[7]GDPR!B25</f>
        <v>-0.42651696232775</v>
      </c>
      <c r="E8" s="22">
        <f>[7]GDPR!G25</f>
        <v>-0.397242206364157</v>
      </c>
      <c r="F8" s="22">
        <f>[7]GDPR!F25</f>
        <v>-0.462784922450132</v>
      </c>
      <c r="G8" s="22">
        <f>[7]GDPR!D25</f>
        <v>-1.72777558229298</v>
      </c>
      <c r="H8" s="21">
        <f>[7]GDPR!E25</f>
        <v>-0.839151696678087</v>
      </c>
      <c r="I8" s="22">
        <f>[7]GDPR!K25</f>
        <v>-0.482347976977715</v>
      </c>
      <c r="J8" s="22">
        <f>[7]GDPR!C25</f>
        <v>-1.44570269813625</v>
      </c>
      <c r="K8" s="22">
        <f>[7]GDPR!H25</f>
        <v>-1.19961521247925</v>
      </c>
    </row>
    <row r="20" spans="1:1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</row>
    <row r="21" spans="1:11">
      <c r="A21" s="26"/>
      <c r="B21" s="28"/>
      <c r="C21" s="29"/>
      <c r="D21" s="29"/>
      <c r="E21" s="29"/>
      <c r="F21" s="29"/>
      <c r="G21" s="29"/>
      <c r="H21" s="29"/>
      <c r="I21" s="29"/>
      <c r="J21" s="29"/>
      <c r="K21" s="29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2" sqref="A2:A8"/>
    </sheetView>
  </sheetViews>
  <sheetFormatPr defaultColWidth="9" defaultRowHeight="15" outlineLevelRow="7"/>
  <cols>
    <col min="2" max="3" width="9.87619047619048" customWidth="1"/>
    <col min="4" max="4" width="9.12380952380952" customWidth="1"/>
    <col min="5" max="11" width="9.87619047619048" customWidth="1"/>
  </cols>
  <sheetData>
    <row r="1" spans="2:11">
      <c r="B1" s="9" t="s">
        <v>7</v>
      </c>
      <c r="C1" s="9" t="s">
        <v>10</v>
      </c>
      <c r="D1" s="9" t="s">
        <v>9</v>
      </c>
      <c r="E1" s="9" t="s">
        <v>8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</row>
    <row r="2" spans="1:11">
      <c r="A2" s="4" t="s">
        <v>0</v>
      </c>
      <c r="B2" s="16">
        <f>[1]CO2!I25</f>
        <v>-13.9015733279919</v>
      </c>
      <c r="C2" s="16">
        <f>[1]CO2!G25</f>
        <v>0.472785354818717</v>
      </c>
      <c r="D2" s="16">
        <f>[1]CO2!B25</f>
        <v>0.206356507414229</v>
      </c>
      <c r="E2" s="16">
        <f>[1]CO2!J25</f>
        <v>0.726779146958623</v>
      </c>
      <c r="F2" s="16">
        <f>[1]CO2!F25</f>
        <v>0.54460861908221</v>
      </c>
      <c r="G2" s="16">
        <f>[1]CO2!D25</f>
        <v>0.376326259507187</v>
      </c>
      <c r="H2" s="16">
        <f>[1]CO2!E25</f>
        <v>0.665024140926684</v>
      </c>
      <c r="I2" s="16">
        <f>[1]CO2!K25</f>
        <v>0.508696268861852</v>
      </c>
      <c r="J2" s="16">
        <f>[1]CO2!C25</f>
        <v>-0.314573854254285</v>
      </c>
      <c r="K2" s="16">
        <f>[1]CO2!H25</f>
        <v>0.0191923644659031</v>
      </c>
    </row>
    <row r="3" spans="1:11">
      <c r="A3" s="4" t="s">
        <v>1</v>
      </c>
      <c r="B3" s="16">
        <f>[2]CO2!I25</f>
        <v>-12.4367760222299</v>
      </c>
      <c r="C3" s="16">
        <f>[2]CO2!G25</f>
        <v>-16.1137938387488</v>
      </c>
      <c r="D3" s="16">
        <f>[2]CO2!B25</f>
        <v>-8.20699498937775</v>
      </c>
      <c r="E3" s="16">
        <f>[2]CO2!J25</f>
        <v>-14.0870430568338</v>
      </c>
      <c r="F3" s="16">
        <f>[2]CO2!F25</f>
        <v>2.09825620047259</v>
      </c>
      <c r="G3" s="16">
        <f>[2]CO2!D25</f>
        <v>1.74030527931501</v>
      </c>
      <c r="H3" s="16">
        <f>[2]CO2!E25</f>
        <v>3.67321764359652</v>
      </c>
      <c r="I3" s="16">
        <f>[2]CO2!K25</f>
        <v>2.53084033480901</v>
      </c>
      <c r="J3" s="16">
        <f>[2]CO2!C25</f>
        <v>-0.333697192749549</v>
      </c>
      <c r="K3" s="16">
        <f>[2]CO2!H25</f>
        <v>0.919759200705128</v>
      </c>
    </row>
    <row r="4" spans="1:11">
      <c r="A4" s="4" t="s">
        <v>2</v>
      </c>
      <c r="B4" s="16">
        <f>[3]CO2!I25</f>
        <v>-10.3235583629264</v>
      </c>
      <c r="C4" s="16">
        <f>[3]CO2!G25</f>
        <v>-14.5505723088288</v>
      </c>
      <c r="D4" s="16">
        <f>[3]CO2!B25</f>
        <v>-7.41871901866834</v>
      </c>
      <c r="E4" s="16">
        <f>[3]CO2!J25</f>
        <v>-10.831659569789</v>
      </c>
      <c r="F4" s="16">
        <f>[3]CO2!F25</f>
        <v>-11.4946875573205</v>
      </c>
      <c r="G4" s="16">
        <f>[3]CO2!D25</f>
        <v>-25.6286598989846</v>
      </c>
      <c r="H4" s="16">
        <f>[3]CO2!E25</f>
        <v>-17.7247295101831</v>
      </c>
      <c r="I4" s="16">
        <f>[3]CO2!K25</f>
        <v>9.4786429700952</v>
      </c>
      <c r="J4" s="16">
        <f>[3]CO2!C25</f>
        <v>2.47032367553388</v>
      </c>
      <c r="K4" s="16">
        <f>[3]CO2!H25</f>
        <v>2.74602991476707</v>
      </c>
    </row>
    <row r="5" spans="1:11">
      <c r="A5" s="4" t="s">
        <v>3</v>
      </c>
      <c r="B5" s="16">
        <f>[4]CO2!I25</f>
        <v>-7.89049003584997</v>
      </c>
      <c r="C5" s="16">
        <f>[4]CO2!G25</f>
        <v>-13.4218657176324</v>
      </c>
      <c r="D5" s="16">
        <f>[4]CO2!B25</f>
        <v>-6.89683122587601</v>
      </c>
      <c r="E5" s="16">
        <f>[4]CO2!J25</f>
        <v>-8.44259078306774</v>
      </c>
      <c r="F5" s="16">
        <f>[4]CO2!F25</f>
        <v>-9.33399336727672</v>
      </c>
      <c r="G5" s="16">
        <f>[4]CO2!D25</f>
        <v>-24.6260607712227</v>
      </c>
      <c r="H5" s="16">
        <f>[4]CO2!E25</f>
        <v>-15.3529665833276</v>
      </c>
      <c r="I5" s="16">
        <f>[4]CO2!K25</f>
        <v>-10.8453000731212</v>
      </c>
      <c r="J5" s="16">
        <f>[4]CO2!C25</f>
        <v>-27.096278767495</v>
      </c>
      <c r="K5" s="16">
        <f>[4]CO2!H25</f>
        <v>-14.8760499251953</v>
      </c>
    </row>
    <row r="6" spans="1:11">
      <c r="A6" s="8" t="s">
        <v>4</v>
      </c>
      <c r="B6" s="17">
        <f>[5]CO2!I25</f>
        <v>-17.1732254854485</v>
      </c>
      <c r="C6" s="17">
        <f>[5]CO2!G25</f>
        <v>0.610885199355571</v>
      </c>
      <c r="D6" s="17">
        <f>[5]CO2!B25</f>
        <v>0.306466625187118</v>
      </c>
      <c r="E6" s="17">
        <f>[5]CO2!J25</f>
        <v>0.901018489825645</v>
      </c>
      <c r="F6" s="17">
        <f>[5]CO2!F25</f>
        <v>1.02291967607067</v>
      </c>
      <c r="G6" s="17">
        <f>[5]CO2!D25</f>
        <v>0.497727708651974</v>
      </c>
      <c r="H6" s="17">
        <f>[5]CO2!E25</f>
        <v>0.818609816222859</v>
      </c>
      <c r="I6" s="17">
        <f>[5]CO2!K25</f>
        <v>0.697184867531231</v>
      </c>
      <c r="J6" s="17">
        <f>[5]CO2!C25</f>
        <v>0.0540683657367369</v>
      </c>
      <c r="K6" s="17">
        <f>[5]CO2!H25</f>
        <v>0.257294557928733</v>
      </c>
    </row>
    <row r="7" spans="1:11">
      <c r="A7" s="8" t="s">
        <v>5</v>
      </c>
      <c r="B7" s="17">
        <f>[6]CO2!I25</f>
        <v>-14.1732005688022</v>
      </c>
      <c r="C7" s="17">
        <f>[6]CO2!G25</f>
        <v>-16.9461396966217</v>
      </c>
      <c r="D7" s="17">
        <f>[6]CO2!B25</f>
        <v>-8.5026584769577</v>
      </c>
      <c r="E7" s="17">
        <f>[6]CO2!J25</f>
        <v>-15.7876354865885</v>
      </c>
      <c r="F7" s="17">
        <f>[6]CO2!F25</f>
        <v>0.767059586469321</v>
      </c>
      <c r="G7" s="17">
        <f>[6]CO2!D25</f>
        <v>1.76085757881586</v>
      </c>
      <c r="H7" s="17">
        <f>[6]CO2!E25</f>
        <v>3.70147923705659</v>
      </c>
      <c r="I7" s="17">
        <f>[6]CO2!K25</f>
        <v>2.49298640004656</v>
      </c>
      <c r="J7" s="17">
        <f>[6]CO2!C25</f>
        <v>0.0729368570060229</v>
      </c>
      <c r="K7" s="17">
        <f>[6]CO2!H25</f>
        <v>1.36176773532746</v>
      </c>
    </row>
    <row r="8" spans="1:11">
      <c r="A8" s="8" t="s">
        <v>6</v>
      </c>
      <c r="B8" s="17">
        <f>[7]CO2!I25</f>
        <v>-11.5023404438296</v>
      </c>
      <c r="C8" s="17">
        <f>[7]CO2!G25</f>
        <v>-14.8873706879606</v>
      </c>
      <c r="D8" s="17">
        <f>[7]CO2!B25</f>
        <v>-7.52065341096917</v>
      </c>
      <c r="E8" s="17">
        <f>[7]CO2!J25</f>
        <v>-11.7175689144333</v>
      </c>
      <c r="F8" s="17">
        <f>[7]CO2!F25</f>
        <v>-11.7045455631032</v>
      </c>
      <c r="G8" s="17">
        <f>[7]CO2!D25</f>
        <v>-26.1402097613534</v>
      </c>
      <c r="H8" s="17">
        <f>[7]CO2!E25</f>
        <v>-18.4934450576726</v>
      </c>
      <c r="I8" s="17">
        <f>[7]CO2!K25</f>
        <v>8.84231260613742</v>
      </c>
      <c r="J8" s="17">
        <f>[7]CO2!C25</f>
        <v>3.18105844686185</v>
      </c>
      <c r="K8" s="17">
        <f>[7]CO2!H25</f>
        <v>3.64117115808571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8"/>
  <sheetViews>
    <sheetView topLeftCell="O1" workbookViewId="0">
      <selection activeCell="AA11" sqref="AA11"/>
    </sheetView>
  </sheetViews>
  <sheetFormatPr defaultColWidth="9" defaultRowHeight="15" outlineLevelRow="7"/>
  <cols>
    <col min="2" max="11" width="14"/>
    <col min="12" max="25" width="12.8761904761905"/>
  </cols>
  <sheetData>
    <row r="1" spans="1:25">
      <c r="A1" s="9"/>
      <c r="B1" s="33" t="s">
        <v>17</v>
      </c>
      <c r="C1" s="33" t="s">
        <v>18</v>
      </c>
      <c r="D1" s="33" t="s">
        <v>19</v>
      </c>
      <c r="E1" s="33" t="s">
        <v>20</v>
      </c>
      <c r="F1" s="33" t="s">
        <v>21</v>
      </c>
      <c r="G1" s="33" t="s">
        <v>22</v>
      </c>
      <c r="H1" s="33" t="s">
        <v>23</v>
      </c>
      <c r="I1" s="33" t="s">
        <v>24</v>
      </c>
      <c r="J1" s="33" t="s">
        <v>25</v>
      </c>
      <c r="K1" s="33" t="s">
        <v>26</v>
      </c>
      <c r="L1" s="33" t="s">
        <v>27</v>
      </c>
      <c r="M1" s="33" t="s">
        <v>28</v>
      </c>
      <c r="N1" s="33" t="s">
        <v>29</v>
      </c>
      <c r="O1" s="33" t="s">
        <v>30</v>
      </c>
      <c r="P1" s="33" t="s">
        <v>31</v>
      </c>
      <c r="Q1" s="33" t="s">
        <v>32</v>
      </c>
      <c r="R1" s="33" t="s">
        <v>33</v>
      </c>
      <c r="S1" s="33" t="s">
        <v>34</v>
      </c>
      <c r="T1" s="33" t="s">
        <v>35</v>
      </c>
      <c r="U1" s="33" t="s">
        <v>36</v>
      </c>
      <c r="V1" s="33" t="s">
        <v>37</v>
      </c>
      <c r="W1" s="33" t="s">
        <v>38</v>
      </c>
      <c r="X1" s="33" t="s">
        <v>39</v>
      </c>
      <c r="Y1" s="33" t="s">
        <v>40</v>
      </c>
    </row>
    <row r="2" spans="1:25">
      <c r="A2" s="4" t="s">
        <v>0</v>
      </c>
      <c r="B2" s="14">
        <f>[1]leak!A2</f>
        <v>27.79204627154</v>
      </c>
      <c r="C2" s="14">
        <f>[1]leak!B2</f>
        <v>30.1033987587355</v>
      </c>
      <c r="D2" s="14">
        <f>[1]leak!C2</f>
        <v>31.1578344514934</v>
      </c>
      <c r="E2" s="14">
        <f>[1]leak!D2</f>
        <v>32.4852863522943</v>
      </c>
      <c r="F2" s="14">
        <f>[1]leak!E2</f>
        <v>33.8272723107492</v>
      </c>
      <c r="G2" s="14">
        <f>[1]leak!F2</f>
        <v>35.1031646268665</v>
      </c>
      <c r="H2" s="14">
        <f>[1]leak!G2</f>
        <v>36.3893622928678</v>
      </c>
      <c r="I2" s="14">
        <f>[1]leak!H2</f>
        <v>37.6737717304082</v>
      </c>
      <c r="J2" s="14">
        <f>[1]leak!I2</f>
        <v>38.9524672882056</v>
      </c>
      <c r="K2" s="14">
        <f>[1]leak!J2</f>
        <v>40.2197584582668</v>
      </c>
      <c r="L2" s="14">
        <f>[1]leak!K2</f>
        <v>41.4666058093946</v>
      </c>
      <c r="M2" s="14">
        <f>[1]leak!L2</f>
        <v>42.6919100886635</v>
      </c>
      <c r="N2" s="14">
        <f>[1]leak!M2</f>
        <v>43.886184551884</v>
      </c>
      <c r="O2" s="14">
        <f>[1]leak!N2</f>
        <v>45.0455002612746</v>
      </c>
      <c r="P2" s="14">
        <f>[1]leak!O2</f>
        <v>46.1652790594961</v>
      </c>
      <c r="Q2" s="14">
        <f>[1]leak!P2</f>
        <v>47.2339927809859</v>
      </c>
      <c r="R2" s="14">
        <f>[1]leak!Q2</f>
        <v>48.3150648618067</v>
      </c>
      <c r="S2" s="14">
        <f>[1]leak!R2</f>
        <v>49.3504223857577</v>
      </c>
      <c r="T2" s="14">
        <f>[1]leak!S2</f>
        <v>50.34398572567</v>
      </c>
      <c r="U2" s="14">
        <f>[1]leak!T2</f>
        <v>51.2663070807173</v>
      </c>
      <c r="V2" s="14">
        <f>[1]leak!U2</f>
        <v>52.1198432305788</v>
      </c>
      <c r="W2" s="14">
        <f>[1]leak!V2</f>
        <v>52.9971356029617</v>
      </c>
      <c r="X2" s="14">
        <f>[1]leak!W2</f>
        <v>53.8074935224673</v>
      </c>
      <c r="Y2" s="14">
        <f>[1]leak!X2</f>
        <v>54.5969440548423</v>
      </c>
    </row>
    <row r="3" s="12" customFormat="1" spans="1:25">
      <c r="A3" s="4" t="s">
        <v>1</v>
      </c>
      <c r="B3" s="15">
        <f>[2]leak!A2</f>
        <v>21.4622309254466</v>
      </c>
      <c r="C3" s="15">
        <f>[2]leak!B2</f>
        <v>22.8362418036543</v>
      </c>
      <c r="D3" s="15">
        <f>[2]leak!C2</f>
        <v>24.0125430029065</v>
      </c>
      <c r="E3" s="15">
        <f>[2]leak!D2</f>
        <v>25.3234039116997</v>
      </c>
      <c r="F3" s="15">
        <f>[2]leak!E2</f>
        <v>26.7254271880813</v>
      </c>
      <c r="G3" s="15">
        <f>[2]leak!F2</f>
        <v>28.1638005268728</v>
      </c>
      <c r="H3" s="15">
        <f>[2]leak!G2</f>
        <v>29.6458973233892</v>
      </c>
      <c r="I3" s="15">
        <f>[2]leak!H2</f>
        <v>31.1587095725958</v>
      </c>
      <c r="J3" s="15">
        <f>[2]leak!I2</f>
        <v>32.6928503354268</v>
      </c>
      <c r="K3" s="15">
        <f>[2]leak!J2</f>
        <v>34.2416441692985</v>
      </c>
      <c r="L3" s="15">
        <f>[2]leak!K2</f>
        <v>35.7907667684346</v>
      </c>
      <c r="M3" s="15">
        <f>[2]leak!L2</f>
        <v>37.3315358082426</v>
      </c>
      <c r="N3" s="15">
        <f>[2]leak!M2</f>
        <v>38.8527414538292</v>
      </c>
      <c r="O3" s="15">
        <f>[2]leak!N2</f>
        <v>40.34422506885</v>
      </c>
      <c r="P3" s="15">
        <f>[2]leak!O2</f>
        <v>41.802265674806</v>
      </c>
      <c r="Q3" s="15">
        <f>[2]leak!P2</f>
        <v>43.2208372498699</v>
      </c>
      <c r="R3" s="15">
        <f>[2]leak!Q2</f>
        <v>44.6274539680769</v>
      </c>
      <c r="S3" s="15">
        <f>[2]leak!R2</f>
        <v>45.9939093341138</v>
      </c>
      <c r="T3" s="15">
        <f>[2]leak!S2</f>
        <v>47.3140741994071</v>
      </c>
      <c r="U3" s="15">
        <f>[2]leak!T2</f>
        <v>48.5096890074622</v>
      </c>
      <c r="V3" s="15">
        <f>[2]leak!U2</f>
        <v>49.6377790562882</v>
      </c>
      <c r="W3" s="15">
        <f>[2]leak!V2</f>
        <v>50.7375358685459</v>
      </c>
      <c r="X3" s="15">
        <f>[2]leak!W2</f>
        <v>51.7761833272197</v>
      </c>
      <c r="Y3" s="15">
        <f>[2]leak!X2</f>
        <v>52.7640324668392</v>
      </c>
    </row>
    <row r="4" s="12" customFormat="1" spans="1:25">
      <c r="A4" s="4" t="s">
        <v>2</v>
      </c>
      <c r="B4" s="15">
        <f>[3]leak!A2</f>
        <v>7.19146104176691</v>
      </c>
      <c r="C4" s="15">
        <f>[3]leak!B2</f>
        <v>7.24728770670466</v>
      </c>
      <c r="D4" s="15">
        <f>[3]leak!C2</f>
        <v>7.26140326377741</v>
      </c>
      <c r="E4" s="15">
        <f>[3]leak!D2</f>
        <v>7.32319812317812</v>
      </c>
      <c r="F4" s="15">
        <f>[3]leak!E2</f>
        <v>7.4206497051027</v>
      </c>
      <c r="G4" s="15">
        <f>[3]leak!F2</f>
        <v>7.5388843385298</v>
      </c>
      <c r="H4" s="15">
        <f>[3]leak!G2</f>
        <v>7.67562018795958</v>
      </c>
      <c r="I4" s="15">
        <f>[3]leak!H2</f>
        <v>7.82726681708382</v>
      </c>
      <c r="J4" s="15">
        <f>[3]leak!I2</f>
        <v>7.99085622745816</v>
      </c>
      <c r="K4" s="15">
        <f>[3]leak!J2</f>
        <v>8.16150946266195</v>
      </c>
      <c r="L4" s="15">
        <f>[3]leak!K2</f>
        <v>8.33875453371003</v>
      </c>
      <c r="M4" s="15">
        <f>[3]leak!L2</f>
        <v>8.52153902932916</v>
      </c>
      <c r="N4" s="15">
        <f>[3]leak!M2</f>
        <v>8.70850270609807</v>
      </c>
      <c r="O4" s="15">
        <f>[3]leak!N2</f>
        <v>8.89836535206403</v>
      </c>
      <c r="P4" s="15">
        <f>[3]leak!O2</f>
        <v>9.0870828100289</v>
      </c>
      <c r="Q4" s="15">
        <f>[3]leak!P2</f>
        <v>9.28241310420277</v>
      </c>
      <c r="R4" s="15">
        <f>[3]leak!Q2</f>
        <v>9.48177529152782</v>
      </c>
      <c r="S4" s="15">
        <f>[3]leak!R2</f>
        <v>9.68337991778645</v>
      </c>
      <c r="T4" s="15">
        <f>[3]leak!S2</f>
        <v>9.88586992406299</v>
      </c>
      <c r="U4" s="15">
        <f>[3]leak!T2</f>
        <v>10.0640136788703</v>
      </c>
      <c r="V4" s="15">
        <f>[3]leak!U2</f>
        <v>10.2403448732054</v>
      </c>
      <c r="W4" s="15">
        <f>[3]leak!V2</f>
        <v>10.4181037764821</v>
      </c>
      <c r="X4" s="15">
        <f>[3]leak!W2</f>
        <v>10.5917588473412</v>
      </c>
      <c r="Y4" s="15">
        <f>[3]leak!X2</f>
        <v>10.7619194516219</v>
      </c>
    </row>
    <row r="5" s="12" customFormat="1" spans="1:25">
      <c r="A5" s="4" t="s">
        <v>3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</row>
    <row r="6" spans="1:25">
      <c r="A6" s="8" t="s">
        <v>4</v>
      </c>
      <c r="B6" s="14">
        <f>[5]leak!A2</f>
        <v>31.0742211043708</v>
      </c>
      <c r="C6" s="14">
        <f>[5]leak!B2</f>
        <v>32.3687706183814</v>
      </c>
      <c r="D6" s="14">
        <f>[5]leak!C2</f>
        <v>33.3954425106791</v>
      </c>
      <c r="E6" s="14">
        <f>[5]leak!D2</f>
        <v>34.7239666078646</v>
      </c>
      <c r="F6" s="14">
        <f>[5]leak!E2</f>
        <v>36.187836134978</v>
      </c>
      <c r="G6" s="14">
        <f>[5]leak!F2</f>
        <v>37.6202471470681</v>
      </c>
      <c r="H6" s="14">
        <f>[5]leak!G2</f>
        <v>39.0644059777515</v>
      </c>
      <c r="I6" s="14">
        <f>[5]leak!H2</f>
        <v>40.5043587524492</v>
      </c>
      <c r="J6" s="14">
        <f>[5]leak!I2</f>
        <v>41.934817992681</v>
      </c>
      <c r="K6" s="14">
        <f>[5]leak!J2</f>
        <v>43.3517152248385</v>
      </c>
      <c r="L6" s="14">
        <f>[5]leak!K2</f>
        <v>44.74144620735</v>
      </c>
      <c r="M6" s="14">
        <f>[5]leak!L2</f>
        <v>46.1025522910639</v>
      </c>
      <c r="N6" s="14">
        <f>[5]leak!M2</f>
        <v>47.4255608863398</v>
      </c>
      <c r="O6" s="14">
        <f>[5]leak!N2</f>
        <v>48.7046347379524</v>
      </c>
      <c r="P6" s="14">
        <f>[5]leak!O2</f>
        <v>49.9356298752884</v>
      </c>
      <c r="Q6" s="14">
        <f>[5]leak!P2</f>
        <v>51.1027182040263</v>
      </c>
      <c r="R6" s="14">
        <f>[5]leak!Q2</f>
        <v>52.2749062904999</v>
      </c>
      <c r="S6" s="14">
        <f>[5]leak!R2</f>
        <v>53.3937656525945</v>
      </c>
      <c r="T6" s="14">
        <f>[5]leak!S2</f>
        <v>54.4609655318249</v>
      </c>
      <c r="U6" s="14">
        <f>[5]leak!T2</f>
        <v>55.4388852292033</v>
      </c>
      <c r="V6" s="14">
        <f>[5]leak!U2</f>
        <v>56.3372495055787</v>
      </c>
      <c r="W6" s="14">
        <f>[5]leak!V2</f>
        <v>57.2479419357356</v>
      </c>
      <c r="X6" s="14">
        <f>[5]leak!W2</f>
        <v>58.0843450820678</v>
      </c>
      <c r="Y6" s="14">
        <f>[5]leak!X2</f>
        <v>58.8899729462678</v>
      </c>
    </row>
    <row r="7" spans="1:25">
      <c r="A7" s="8" t="s">
        <v>5</v>
      </c>
      <c r="B7" s="14">
        <f>[6]leak!A2</f>
        <v>9.88159207234861</v>
      </c>
      <c r="C7" s="14">
        <f>[6]leak!B2</f>
        <v>15.2180136304219</v>
      </c>
      <c r="D7" s="14">
        <f>[6]leak!C2</f>
        <v>18.1718120477425</v>
      </c>
      <c r="E7" s="14">
        <f>[6]leak!D2</f>
        <v>20.4503375800926</v>
      </c>
      <c r="F7" s="14">
        <f>[6]leak!E2</f>
        <v>22.4595058620675</v>
      </c>
      <c r="G7" s="14">
        <f>[6]leak!F2</f>
        <v>24.3038122380985</v>
      </c>
      <c r="H7" s="14">
        <f>[6]leak!G2</f>
        <v>26.0661973523051</v>
      </c>
      <c r="I7" s="14">
        <f>[6]leak!H2</f>
        <v>27.7783392950255</v>
      </c>
      <c r="J7" s="14">
        <f>[6]leak!I2</f>
        <v>29.4571933908945</v>
      </c>
      <c r="K7" s="14">
        <f>[6]leak!J2</f>
        <v>31.1100737005507</v>
      </c>
      <c r="L7" s="14">
        <f>[6]leak!K2</f>
        <v>32.7347368277354</v>
      </c>
      <c r="M7" s="14">
        <f>[6]leak!L2</f>
        <v>34.3316125329896</v>
      </c>
      <c r="N7" s="14">
        <f>[6]leak!M2</f>
        <v>35.8933078009472</v>
      </c>
      <c r="O7" s="14">
        <f>[6]leak!N2</f>
        <v>37.4137001762246</v>
      </c>
      <c r="P7" s="14">
        <f>[6]leak!O2</f>
        <v>38.8889362861394</v>
      </c>
      <c r="Q7" s="14">
        <f>[6]leak!P2</f>
        <v>40.3182434237962</v>
      </c>
      <c r="R7" s="14">
        <f>[6]leak!Q2</f>
        <v>41.7280948109106</v>
      </c>
      <c r="S7" s="14">
        <f>[6]leak!R2</f>
        <v>43.0920979489896</v>
      </c>
      <c r="T7" s="14">
        <f>[6]leak!S2</f>
        <v>44.4065234815181</v>
      </c>
      <c r="U7" s="14">
        <f>[6]leak!T2</f>
        <v>45.5988519336936</v>
      </c>
      <c r="V7" s="14">
        <f>[6]leak!U2</f>
        <v>46.7224566632332</v>
      </c>
      <c r="W7" s="14">
        <f>[6]leak!V2</f>
        <v>47.8147705113547</v>
      </c>
      <c r="X7" s="14">
        <f>[6]leak!W2</f>
        <v>48.8437410402154</v>
      </c>
      <c r="Y7" s="14">
        <f>[6]leak!X2</f>
        <v>49.8198252198964</v>
      </c>
    </row>
    <row r="8" spans="1:25">
      <c r="A8" s="8" t="s">
        <v>6</v>
      </c>
      <c r="B8" s="14">
        <f>[7]leak!A2</f>
        <v>3.84994020212707</v>
      </c>
      <c r="C8" s="14">
        <f>[7]leak!B2</f>
        <v>5.29482670456412</v>
      </c>
      <c r="D8" s="14">
        <f>[7]leak!C2</f>
        <v>5.84185944857927</v>
      </c>
      <c r="E8" s="14">
        <f>[7]leak!D2</f>
        <v>6.18945688276334</v>
      </c>
      <c r="F8" s="14">
        <f>[7]leak!E2</f>
        <v>6.46880062239849</v>
      </c>
      <c r="G8" s="14">
        <f>[7]leak!F2</f>
        <v>6.71123567374163</v>
      </c>
      <c r="H8" s="14">
        <f>[7]leak!G2</f>
        <v>6.93834671932974</v>
      </c>
      <c r="I8" s="14">
        <f>[7]leak!H2</f>
        <v>7.15876746952429</v>
      </c>
      <c r="J8" s="14">
        <f>[7]leak!I2</f>
        <v>7.37671823073742</v>
      </c>
      <c r="K8" s="14">
        <f>[7]leak!J2</f>
        <v>7.59117830835265</v>
      </c>
      <c r="L8" s="14">
        <f>[7]leak!K2</f>
        <v>7.80490277224862</v>
      </c>
      <c r="M8" s="14">
        <f>[7]leak!L2</f>
        <v>8.01884162050045</v>
      </c>
      <c r="N8" s="14">
        <f>[7]leak!M2</f>
        <v>8.23277613527136</v>
      </c>
      <c r="O8" s="14">
        <f>[7]leak!N2</f>
        <v>8.44642658646265</v>
      </c>
      <c r="P8" s="14">
        <f>[7]leak!O2</f>
        <v>8.65616292190849</v>
      </c>
      <c r="Q8" s="14">
        <f>[7]leak!P2</f>
        <v>8.87064640701099</v>
      </c>
      <c r="R8" s="14">
        <f>[7]leak!Q2</f>
        <v>9.08813926712469</v>
      </c>
      <c r="S8" s="14">
        <f>[7]leak!R2</f>
        <v>9.30721790553583</v>
      </c>
      <c r="T8" s="14">
        <f>[7]leak!S2</f>
        <v>9.52660936956267</v>
      </c>
      <c r="U8" s="14">
        <f>[7]leak!T2</f>
        <v>9.72088009685986</v>
      </c>
      <c r="V8" s="14">
        <f>[7]leak!U2</f>
        <v>9.91271099781222</v>
      </c>
      <c r="W8" s="14">
        <f>[7]leak!V2</f>
        <v>10.1069965488611</v>
      </c>
      <c r="X8" s="14">
        <f>[7]leak!W2</f>
        <v>10.2974302780138</v>
      </c>
      <c r="Y8" s="14">
        <f>[7]leak!X2</f>
        <v>10.4850372853147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2" sqref="A2:A8"/>
    </sheetView>
  </sheetViews>
  <sheetFormatPr defaultColWidth="9" defaultRowHeight="15" outlineLevelRow="7"/>
  <cols>
    <col min="2" max="5" width="9.12380952380952" customWidth="1"/>
    <col min="6" max="6" width="9.87619047619048" customWidth="1"/>
    <col min="7" max="8" width="9.12380952380952" customWidth="1"/>
    <col min="9" max="9" width="9.87619047619048" customWidth="1"/>
    <col min="10" max="10" width="9.12380952380952" customWidth="1"/>
    <col min="11" max="11" width="9.87619047619048" customWidth="1"/>
  </cols>
  <sheetData>
    <row r="1" spans="2:11">
      <c r="B1" s="33" t="s">
        <v>41</v>
      </c>
      <c r="C1" s="33" t="s">
        <v>42</v>
      </c>
      <c r="D1" s="33" t="s">
        <v>43</v>
      </c>
      <c r="E1" s="33" t="s">
        <v>44</v>
      </c>
      <c r="F1" s="33" t="s">
        <v>45</v>
      </c>
      <c r="G1" s="33" t="s">
        <v>46</v>
      </c>
      <c r="H1" s="33" t="s">
        <v>47</v>
      </c>
      <c r="I1" s="33" t="s">
        <v>48</v>
      </c>
      <c r="J1" s="33" t="s">
        <v>49</v>
      </c>
      <c r="K1" s="33" t="s">
        <v>50</v>
      </c>
    </row>
    <row r="2" s="12" customFormat="1" spans="1:11">
      <c r="A2" s="4" t="s">
        <v>0</v>
      </c>
      <c r="B2" s="13">
        <f>[1]EXP!B25</f>
        <v>0.752886152214582</v>
      </c>
      <c r="C2" s="13">
        <f>[1]EXP!C25</f>
        <v>0.302885110635565</v>
      </c>
      <c r="D2" s="13">
        <f>[1]EXP!D25</f>
        <v>0.620890621808279</v>
      </c>
      <c r="E2" s="13">
        <f>[1]EXP!E25</f>
        <v>1.56997899203972</v>
      </c>
      <c r="F2" s="13">
        <f>[1]EXP!F25</f>
        <v>0.438382117986347</v>
      </c>
      <c r="G2" s="13">
        <f>[1]EXP!G25</f>
        <v>0.346233620241976</v>
      </c>
      <c r="H2" s="13">
        <f>[1]EXP!H25</f>
        <v>1.32053313466891</v>
      </c>
      <c r="I2" s="13">
        <f>[1]EXP!I25</f>
        <v>-2.63913628555996</v>
      </c>
      <c r="J2" s="13">
        <f>[1]EXP!J25</f>
        <v>0.608284505192569</v>
      </c>
      <c r="K2" s="13">
        <f>[1]EXP!K25</f>
        <v>0.754031273837885</v>
      </c>
    </row>
    <row r="3" s="12" customFormat="1" spans="1:11">
      <c r="A3" s="4" t="s">
        <v>1</v>
      </c>
      <c r="B3" s="13">
        <f>[2]EXP!B25</f>
        <v>-0.180804149932179</v>
      </c>
      <c r="C3" s="13">
        <f>[2]EXP!C25</f>
        <v>-0.0471966982861671</v>
      </c>
      <c r="D3" s="13">
        <f>[2]EXP!D25</f>
        <v>0.400632108406906</v>
      </c>
      <c r="E3" s="13">
        <f>[2]EXP!E25</f>
        <v>1.66846189148342</v>
      </c>
      <c r="F3" s="13">
        <f>[2]EXP!F25</f>
        <v>-0.438253531996569</v>
      </c>
      <c r="G3" s="13">
        <f>[2]EXP!G25</f>
        <v>-1.07294992048872</v>
      </c>
      <c r="H3" s="13">
        <f>[2]EXP!H25</f>
        <v>1.32235143764823</v>
      </c>
      <c r="I3" s="13">
        <f>[2]EXP!I25</f>
        <v>-2.15252085244293</v>
      </c>
      <c r="J3" s="13">
        <f>[2]EXP!J25</f>
        <v>-1.81449183421027</v>
      </c>
      <c r="K3" s="13">
        <f>[2]EXP!K25</f>
        <v>0.711994945712924</v>
      </c>
    </row>
    <row r="4" s="12" customFormat="1" spans="1:11">
      <c r="A4" s="4" t="s">
        <v>2</v>
      </c>
      <c r="B4" s="13">
        <f>[3]EXP!B25</f>
        <v>1.58517544591501</v>
      </c>
      <c r="C4" s="13">
        <f>[3]EXP!C25</f>
        <v>-0.222842137987855</v>
      </c>
      <c r="D4" s="13">
        <f>[3]EXP!D25</f>
        <v>-4.71906394140125</v>
      </c>
      <c r="E4" s="13">
        <f>[3]EXP!E25</f>
        <v>-6.14679914439284</v>
      </c>
      <c r="F4" s="13">
        <f>[3]EXP!F25</f>
        <v>-1.01547022043698</v>
      </c>
      <c r="G4" s="13">
        <f>[3]EXP!G25</f>
        <v>-0.326677793721286</v>
      </c>
      <c r="H4" s="13">
        <f>[3]EXP!H25</f>
        <v>1.30110853547101</v>
      </c>
      <c r="I4" s="13">
        <f>[3]EXP!I25</f>
        <v>-1.76605360898773</v>
      </c>
      <c r="J4" s="13">
        <f>[3]EXP!J25</f>
        <v>0.00283059508561223</v>
      </c>
      <c r="K4" s="13">
        <f>[3]EXP!K25</f>
        <v>0.040375257534464</v>
      </c>
    </row>
    <row r="5" s="12" customFormat="1" spans="1:11">
      <c r="A5" s="4" t="s">
        <v>3</v>
      </c>
      <c r="B5" s="13">
        <f>[4]EXP!B25</f>
        <v>2.33027142386473</v>
      </c>
      <c r="C5" s="13">
        <f>[4]EXP!C25</f>
        <v>1.08147512624628</v>
      </c>
      <c r="D5" s="13">
        <f>[4]EXP!D25</f>
        <v>-4.2426016626958</v>
      </c>
      <c r="E5" s="13">
        <f>[4]EXP!E25</f>
        <v>-5.18834914003157</v>
      </c>
      <c r="F5" s="13">
        <f>[4]EXP!F25</f>
        <v>-0.793115669939348</v>
      </c>
      <c r="G5" s="13">
        <f>[4]EXP!G25</f>
        <v>-0.117594395107834</v>
      </c>
      <c r="H5" s="13">
        <f>[4]EXP!H25</f>
        <v>3.60886641700071</v>
      </c>
      <c r="I5" s="13">
        <f>[4]EXP!I25</f>
        <v>-1.554661234024</v>
      </c>
      <c r="J5" s="13">
        <f>[4]EXP!J25</f>
        <v>0.523312023141553</v>
      </c>
      <c r="K5" s="13">
        <f>[4]EXP!K25</f>
        <v>-0.910980338608824</v>
      </c>
    </row>
    <row r="6" spans="1:11">
      <c r="A6" s="8" t="s">
        <v>4</v>
      </c>
      <c r="B6" s="11">
        <f>[5]EXP!B25</f>
        <v>0.457418455552294</v>
      </c>
      <c r="C6" s="11">
        <f>[5]EXP!C25</f>
        <v>-0.852434320898987</v>
      </c>
      <c r="D6" s="11">
        <f>[5]EXP!D25</f>
        <v>-0.238376643300553</v>
      </c>
      <c r="E6" s="11">
        <f>[5]EXP!E25</f>
        <v>1.05527050439558</v>
      </c>
      <c r="F6" s="11">
        <f>[5]EXP!F25</f>
        <v>0.123972582383303</v>
      </c>
      <c r="G6" s="11">
        <f>[5]EXP!G25</f>
        <v>-0.80472221642548</v>
      </c>
      <c r="H6" s="11">
        <f>[5]EXP!H25</f>
        <v>0.778446231957108</v>
      </c>
      <c r="I6" s="11">
        <f>[5]EXP!I25</f>
        <v>-10.306980685865</v>
      </c>
      <c r="J6" s="11">
        <f>[5]EXP!J25</f>
        <v>-2.15922944972898</v>
      </c>
      <c r="K6" s="11">
        <f>[5]EXP!K25</f>
        <v>-0.331216566711856</v>
      </c>
    </row>
    <row r="7" spans="1:11">
      <c r="A7" s="8" t="s">
        <v>5</v>
      </c>
      <c r="B7" s="11">
        <f>[6]EXP!B25</f>
        <v>0.283451048753025</v>
      </c>
      <c r="C7" s="11">
        <f>[6]EXP!C25</f>
        <v>-2.84965627236665</v>
      </c>
      <c r="D7" s="11">
        <f>[6]EXP!D25</f>
        <v>-4.36793437529428</v>
      </c>
      <c r="E7" s="11">
        <f>[6]EXP!E25</f>
        <v>-0.743907896874041</v>
      </c>
      <c r="F7" s="11">
        <f>[6]EXP!F25</f>
        <v>-10.4134026974936</v>
      </c>
      <c r="G7" s="11">
        <f>[6]EXP!G25</f>
        <v>-6.30332202885751</v>
      </c>
      <c r="H7" s="11">
        <f>[6]EXP!H25</f>
        <v>-0.722054770421998</v>
      </c>
      <c r="I7" s="11">
        <f>[6]EXP!I25</f>
        <v>-5.66036617231982</v>
      </c>
      <c r="J7" s="11">
        <f>[6]EXP!J25</f>
        <v>-5.93769440111872</v>
      </c>
      <c r="K7" s="11">
        <f>[6]EXP!K25</f>
        <v>-3.64322593649627</v>
      </c>
    </row>
    <row r="8" spans="1:11">
      <c r="A8" s="8" t="s">
        <v>6</v>
      </c>
      <c r="B8" s="11">
        <f>[7]EXP!B25</f>
        <v>1.62288170295664</v>
      </c>
      <c r="C8" s="11">
        <f>[7]EXP!C25</f>
        <v>-4.8916181267783</v>
      </c>
      <c r="D8" s="11">
        <f>[7]EXP!D25</f>
        <v>-8.19648233830065</v>
      </c>
      <c r="E8" s="11">
        <f>[7]EXP!E25</f>
        <v>-8.09034300218187</v>
      </c>
      <c r="F8" s="11">
        <f>[7]EXP!F25</f>
        <v>-0.73281929985638</v>
      </c>
      <c r="G8" s="11">
        <f>[7]EXP!G25</f>
        <v>-1.5592146522073</v>
      </c>
      <c r="H8" s="11">
        <f>[7]EXP!H25</f>
        <v>-3.56059226734938</v>
      </c>
      <c r="I8" s="11">
        <f>[7]EXP!I25</f>
        <v>-3.09047149493536</v>
      </c>
      <c r="J8" s="11">
        <f>[7]EXP!J25</f>
        <v>-1.18245154632645</v>
      </c>
      <c r="K8" s="11">
        <f>[7]EXP!K25</f>
        <v>-13.1447795249061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D6" sqref="D6"/>
    </sheetView>
  </sheetViews>
  <sheetFormatPr defaultColWidth="9" defaultRowHeight="15" outlineLevelRow="7"/>
  <sheetData>
    <row r="1" spans="2:11">
      <c r="B1" s="33" t="s">
        <v>41</v>
      </c>
      <c r="C1" s="33" t="s">
        <v>42</v>
      </c>
      <c r="D1" s="33" t="s">
        <v>43</v>
      </c>
      <c r="E1" s="33" t="s">
        <v>44</v>
      </c>
      <c r="F1" s="33" t="s">
        <v>45</v>
      </c>
      <c r="G1" s="33" t="s">
        <v>46</v>
      </c>
      <c r="H1" s="33" t="s">
        <v>47</v>
      </c>
      <c r="I1" s="33" t="s">
        <v>48</v>
      </c>
      <c r="J1" s="33" t="s">
        <v>49</v>
      </c>
      <c r="K1" s="33" t="s">
        <v>50</v>
      </c>
    </row>
    <row r="2" spans="1:11">
      <c r="A2" s="4" t="s">
        <v>0</v>
      </c>
      <c r="B2" s="10">
        <f>[1]IMP!B25</f>
        <v>-0.432353376945283</v>
      </c>
      <c r="C2" s="10">
        <f>[1]IMP!C25</f>
        <v>-3.19193712556164</v>
      </c>
      <c r="D2" s="10">
        <f>[1]IMP!D25</f>
        <v>2.20251232109516</v>
      </c>
      <c r="E2" s="10">
        <f>[1]IMP!E25</f>
        <v>4.17099753617127</v>
      </c>
      <c r="F2" s="10">
        <f>[1]IMP!F25</f>
        <v>0.498978949175544</v>
      </c>
      <c r="G2" s="10">
        <f>[1]IMP!G25</f>
        <v>-0.0910206714743178</v>
      </c>
      <c r="H2" s="10">
        <f>[1]IMP!H25</f>
        <v>-1.17941599704799</v>
      </c>
      <c r="I2" s="10">
        <f>[1]IMP!I25</f>
        <v>-2.48870198094903</v>
      </c>
      <c r="J2" s="10">
        <f>[1]IMP!J25</f>
        <v>-0.214336383821356</v>
      </c>
      <c r="K2" s="10">
        <f>[1]IMP!K25</f>
        <v>0.441930644600097</v>
      </c>
    </row>
    <row r="3" spans="1:11">
      <c r="A3" s="4" t="s">
        <v>1</v>
      </c>
      <c r="B3" s="10">
        <f>[2]IMP!B25</f>
        <v>-1.78004481678612</v>
      </c>
      <c r="C3" s="10">
        <f>[2]IMP!C25</f>
        <v>-6.22283586722853</v>
      </c>
      <c r="D3" s="10">
        <f>[2]IMP!D25</f>
        <v>2.06018531117866</v>
      </c>
      <c r="E3" s="10">
        <f>[2]IMP!E25</f>
        <v>5.05077805791414</v>
      </c>
      <c r="F3" s="10">
        <f>[2]IMP!F25</f>
        <v>-0.61910670774038</v>
      </c>
      <c r="G3" s="10">
        <f>[2]IMP!G25</f>
        <v>-1.15990972075244</v>
      </c>
      <c r="H3" s="10">
        <f>[2]IMP!H25</f>
        <v>-2.76700688069377</v>
      </c>
      <c r="I3" s="10">
        <f>[2]IMP!I25</f>
        <v>-1.47903951477003</v>
      </c>
      <c r="J3" s="10">
        <f>[2]IMP!J25</f>
        <v>-2.38144280086139</v>
      </c>
      <c r="K3" s="10">
        <f>[2]IMP!K25</f>
        <v>0.56819628396334</v>
      </c>
    </row>
    <row r="4" spans="1:11">
      <c r="A4" s="4" t="s">
        <v>2</v>
      </c>
      <c r="B4" s="10">
        <f>[3]IMP!B25</f>
        <v>-2.0138625550703</v>
      </c>
      <c r="C4" s="10">
        <f>[3]IMP!C25</f>
        <v>-12.7729804534477</v>
      </c>
      <c r="D4" s="10">
        <f>[3]IMP!D25</f>
        <v>-0.556009448243833</v>
      </c>
      <c r="E4" s="10">
        <f>[3]IMP!E25</f>
        <v>1.2037652814586</v>
      </c>
      <c r="F4" s="10">
        <f>[3]IMP!F25</f>
        <v>-1.03718034207523</v>
      </c>
      <c r="G4" s="10">
        <f>[3]IMP!G25</f>
        <v>-0.990507530229456</v>
      </c>
      <c r="H4" s="10">
        <f>[3]IMP!H25</f>
        <v>-8.08517405185172</v>
      </c>
      <c r="I4" s="10">
        <f>[3]IMP!I25</f>
        <v>-0.46322907901758</v>
      </c>
      <c r="J4" s="10">
        <f>[3]IMP!J25</f>
        <v>-1.58098561186629</v>
      </c>
      <c r="K4" s="10">
        <f>[3]IMP!K25</f>
        <v>-0.593934331572243</v>
      </c>
    </row>
    <row r="5" spans="1:11">
      <c r="A5" s="4" t="s">
        <v>3</v>
      </c>
      <c r="B5" s="10">
        <f>[4]IMP!B25</f>
        <v>-2.17596960419778</v>
      </c>
      <c r="C5" s="10">
        <f>[4]IMP!C25</f>
        <v>-14.4593093693377</v>
      </c>
      <c r="D5" s="10">
        <f>[4]IMP!D25</f>
        <v>0.320067630695475</v>
      </c>
      <c r="E5" s="10">
        <f>[4]IMP!E25</f>
        <v>3.57177403757498</v>
      </c>
      <c r="F5" s="10">
        <f>[4]IMP!F25</f>
        <v>-0.354318142138133</v>
      </c>
      <c r="G5" s="10">
        <f>[4]IMP!G25</f>
        <v>-1.00957364051588</v>
      </c>
      <c r="H5" s="10">
        <f>[4]IMP!H25</f>
        <v>-8.37776928333196</v>
      </c>
      <c r="I5" s="10">
        <f>[4]IMP!I25</f>
        <v>0.425947481065303</v>
      </c>
      <c r="J5" s="10">
        <f>[4]IMP!J25</f>
        <v>-1.16229765339311</v>
      </c>
      <c r="K5" s="10">
        <f>[4]IMP!K25</f>
        <v>-1.19867073346364</v>
      </c>
    </row>
    <row r="6" spans="1:11">
      <c r="A6" s="8" t="s">
        <v>4</v>
      </c>
      <c r="B6" s="11">
        <f>[5]IMP!B25</f>
        <v>-0.245710300107327</v>
      </c>
      <c r="C6" s="11">
        <f>[5]IMP!C25</f>
        <v>-2.98778285750453</v>
      </c>
      <c r="D6" s="11">
        <f>[5]IMP!D25</f>
        <v>1.8956760153469</v>
      </c>
      <c r="E6" s="11">
        <f>[5]IMP!E25</f>
        <v>4.16866087357237</v>
      </c>
      <c r="F6" s="11">
        <f>[5]IMP!F25</f>
        <v>0.701614958759555</v>
      </c>
      <c r="G6" s="11">
        <f>[5]IMP!G25</f>
        <v>-0.372550013533324</v>
      </c>
      <c r="H6" s="11">
        <f>[5]IMP!H25</f>
        <v>-1.16285193164508</v>
      </c>
      <c r="I6" s="11">
        <f>[5]IMP!I25</f>
        <v>-18.1928998555291</v>
      </c>
      <c r="J6" s="11">
        <f>[5]IMP!J25</f>
        <v>-1.06037627815107</v>
      </c>
      <c r="K6" s="11">
        <f>[5]IMP!K25</f>
        <v>0.140567255413915</v>
      </c>
    </row>
    <row r="7" spans="1:11">
      <c r="A7" s="8" t="s">
        <v>5</v>
      </c>
      <c r="B7" s="11">
        <f>[6]IMP!B25</f>
        <v>-2.04069400067088</v>
      </c>
      <c r="C7" s="11">
        <f>[6]IMP!C25</f>
        <v>-6.78127991784273</v>
      </c>
      <c r="D7" s="11">
        <f>[6]IMP!D25</f>
        <v>-0.720090562492626</v>
      </c>
      <c r="E7" s="11">
        <f>[6]IMP!E25</f>
        <v>3.79032999126667</v>
      </c>
      <c r="F7" s="11">
        <f>[6]IMP!F25</f>
        <v>-8.25731325004492</v>
      </c>
      <c r="G7" s="11">
        <f>[6]IMP!G25</f>
        <v>-9.05949662711982</v>
      </c>
      <c r="H7" s="11">
        <f>[6]IMP!H25</f>
        <v>-3.21197065058547</v>
      </c>
      <c r="I7" s="11">
        <f>[6]IMP!I25</f>
        <v>-7.96731290149519</v>
      </c>
      <c r="J7" s="11">
        <f>[6]IMP!J25</f>
        <v>-9.50630320402058</v>
      </c>
      <c r="K7" s="11">
        <f>[6]IMP!K25</f>
        <v>-1.83989309124577</v>
      </c>
    </row>
    <row r="8" spans="1:11">
      <c r="A8" s="8" t="s">
        <v>6</v>
      </c>
      <c r="B8" s="11">
        <f>[7]IMP!B25</f>
        <v>-2.02559640441461</v>
      </c>
      <c r="C8" s="11">
        <f>[7]IMP!C25</f>
        <v>-15.1407199949805</v>
      </c>
      <c r="D8" s="11">
        <f>[7]IMP!D25</f>
        <v>-6.07361876256044</v>
      </c>
      <c r="E8" s="11">
        <f>[7]IMP!E25</f>
        <v>-2.53594712042119</v>
      </c>
      <c r="F8" s="11">
        <f>[7]IMP!F25</f>
        <v>-0.800071168278027</v>
      </c>
      <c r="G8" s="11">
        <f>[7]IMP!G25</f>
        <v>-2.83735417749071</v>
      </c>
      <c r="H8" s="11">
        <f>[7]IMP!H25</f>
        <v>-10.7465552550679</v>
      </c>
      <c r="I8" s="11">
        <f>[7]IMP!I25</f>
        <v>-3.05079944013347</v>
      </c>
      <c r="J8" s="11">
        <f>[7]IMP!J25</f>
        <v>-3.56240169393113</v>
      </c>
      <c r="K8" s="11">
        <f>[7]IMP!K25</f>
        <v>-10.7750945879778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2" sqref="D2"/>
    </sheetView>
  </sheetViews>
  <sheetFormatPr defaultColWidth="9.12380952380952" defaultRowHeight="15" outlineLevelRow="7" outlineLevelCol="3"/>
  <cols>
    <col min="4" max="4" width="9.37142857142857"/>
  </cols>
  <sheetData>
    <row r="1" ht="55.5" spans="1:4">
      <c r="A1" s="1"/>
      <c r="B1" s="2" t="s">
        <v>51</v>
      </c>
      <c r="C1" s="2" t="s">
        <v>52</v>
      </c>
      <c r="D1" s="3" t="s">
        <v>53</v>
      </c>
    </row>
    <row r="2" spans="1:4">
      <c r="A2" s="4" t="s">
        <v>0</v>
      </c>
      <c r="B2" s="5">
        <v>0.0361775073373094</v>
      </c>
      <c r="C2" s="6">
        <v>-0.324082866335129</v>
      </c>
      <c r="D2" s="7">
        <f>B2/C2</f>
        <v>-0.111630422633632</v>
      </c>
    </row>
    <row r="3" spans="1:4">
      <c r="A3" s="4" t="s">
        <v>1</v>
      </c>
      <c r="B3" s="5">
        <v>-0.0519243515055279</v>
      </c>
      <c r="C3" s="6">
        <v>-1.43596854107717</v>
      </c>
      <c r="D3" s="7">
        <f t="shared" ref="D3:D8" si="0">B3/C3</f>
        <v>0.0361598113191098</v>
      </c>
    </row>
    <row r="4" spans="1:4">
      <c r="A4" s="4" t="s">
        <v>2</v>
      </c>
      <c r="B4" s="5">
        <v>-0.631097993357266</v>
      </c>
      <c r="C4" s="6">
        <v>-13.4986854005831</v>
      </c>
      <c r="D4" s="7">
        <f t="shared" si="0"/>
        <v>0.0467525521655616</v>
      </c>
    </row>
    <row r="5" spans="1:4">
      <c r="A5" s="4" t="s">
        <v>3</v>
      </c>
      <c r="B5" s="5">
        <v>-0.687425145657827</v>
      </c>
      <c r="C5" s="6">
        <v>-17.6236321091195</v>
      </c>
      <c r="D5" s="7">
        <f t="shared" si="0"/>
        <v>0.0390058724218439</v>
      </c>
    </row>
    <row r="6" spans="1:4">
      <c r="A6" s="8" t="s">
        <v>4</v>
      </c>
      <c r="B6" s="5">
        <v>-0.0203873833003576</v>
      </c>
      <c r="C6" s="6">
        <v>-0.338170755169287</v>
      </c>
      <c r="D6" s="7">
        <f t="shared" si="0"/>
        <v>0.0602872453892465</v>
      </c>
    </row>
    <row r="7" spans="1:4">
      <c r="A7" s="8" t="s">
        <v>5</v>
      </c>
      <c r="B7" s="5">
        <v>-0.23820999890477</v>
      </c>
      <c r="C7" s="6">
        <v>-1.65725753195669</v>
      </c>
      <c r="D7" s="7">
        <f t="shared" si="0"/>
        <v>0.143737466453702</v>
      </c>
    </row>
    <row r="8" spans="1:4">
      <c r="A8" s="8" t="s">
        <v>6</v>
      </c>
      <c r="B8" s="5">
        <v>-0.872016719928348</v>
      </c>
      <c r="C8" s="6">
        <v>-13.9389777575193</v>
      </c>
      <c r="D8" s="7">
        <f t="shared" si="0"/>
        <v>0.0625595890242341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GLOBAL GDP</vt:lpstr>
      <vt:lpstr>GLOBAL CO2</vt:lpstr>
      <vt:lpstr>C_GDP</vt:lpstr>
      <vt:lpstr>C_CO2</vt:lpstr>
      <vt:lpstr>LEAK</vt:lpstr>
      <vt:lpstr>EXP</vt:lpstr>
      <vt:lpstr>IMP</vt:lpstr>
      <vt:lpstr>effiency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hnx</dc:creator>
  <cp:lastModifiedBy>o</cp:lastModifiedBy>
  <dcterms:created xsi:type="dcterms:W3CDTF">2015-06-05T18:19:00Z</dcterms:created>
  <dcterms:modified xsi:type="dcterms:W3CDTF">2026-04-02T15:01:02Z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87C3026599554109BD993DCAF1EE2DDC_12</vt:lpwstr>
  </property>
  <property fmtid="{D5CDD505-2E9C-101B-9397-08002B2CF9AE}" pid="3" name="KSOProductBuildVer">
    <vt:lpwstr>1033-12.2.0.23196</vt:lpwstr>
  </property>
</Properties>
</file>